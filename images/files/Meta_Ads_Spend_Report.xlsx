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4e2000c6d1f8d54/Desktop/VA FOLDER/JFM Porfolio/Meta Ads Spend Report/"/>
    </mc:Choice>
  </mc:AlternateContent>
  <xr:revisionPtr revIDLastSave="2" documentId="11_59B9520938F79BF2438733AFCB534B1AEA56D818" xr6:coauthVersionLast="47" xr6:coauthVersionMax="47" xr10:uidLastSave="{6365FF9B-3906-4D48-A908-88FEE9D7F1F4}"/>
  <bookViews>
    <workbookView minimized="1" xWindow="660" yWindow="2820" windowWidth="21600" windowHeight="11295" tabRatio="500" xr2:uid="{00000000-000D-0000-FFFF-FFFF00000000}"/>
  </bookViews>
  <sheets>
    <sheet name="Summary" sheetId="1" r:id="rId1"/>
    <sheet name="Transactions" sheetId="2" r:id="rId2"/>
  </sheets>
  <definedNames>
    <definedName name="_xlnm._FilterDatabase" localSheetId="1" hidden="1">Transactions!$A$1:$F$326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26" i="2" l="1"/>
  <c r="F325" i="2"/>
  <c r="F324" i="2"/>
  <c r="F323" i="2"/>
  <c r="F322" i="2"/>
  <c r="F321" i="2"/>
  <c r="F320" i="2"/>
  <c r="F319" i="2"/>
  <c r="C15" i="1" s="1"/>
  <c r="F318" i="2"/>
  <c r="F317" i="2"/>
  <c r="F316" i="2"/>
  <c r="F315" i="2"/>
  <c r="C13" i="1" s="1"/>
  <c r="E13" i="1" s="1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D14" i="1" s="1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13" i="1" s="1"/>
  <c r="F7" i="2"/>
  <c r="F6" i="2"/>
  <c r="F5" i="2"/>
  <c r="F4" i="2"/>
  <c r="F3" i="2"/>
  <c r="F2" i="2"/>
  <c r="F14" i="1" s="1"/>
  <c r="D16" i="1"/>
  <c r="D13" i="1"/>
  <c r="E7" i="1"/>
  <c r="D7" i="1"/>
  <c r="C7" i="1"/>
  <c r="B7" i="1"/>
  <c r="D15" i="1" l="1"/>
  <c r="E15" i="1" s="1"/>
  <c r="F16" i="1"/>
  <c r="C12" i="1"/>
  <c r="F12" i="1"/>
  <c r="F17" i="1" s="1"/>
  <c r="F15" i="1"/>
  <c r="C14" i="1"/>
  <c r="E14" i="1" s="1"/>
  <c r="C16" i="1"/>
  <c r="E16" i="1" s="1"/>
  <c r="D12" i="1"/>
  <c r="D17" i="1" s="1"/>
  <c r="C17" i="1" l="1"/>
  <c r="E12" i="1"/>
  <c r="E17" i="1" s="1"/>
</calcChain>
</file>

<file path=xl/sharedStrings.xml><?xml version="1.0" encoding="utf-8"?>
<sst xmlns="http://schemas.openxmlformats.org/spreadsheetml/2006/main" count="995" uniqueCount="349">
  <si>
    <t>META ADS — CLIENT AD SPEND REPORT</t>
  </si>
  <si>
    <t>Prepared by Josephine "Pen" Fitalvo — Social Media Manager &amp; Real Estate VA</t>
  </si>
  <si>
    <t>Reporting Period: 12/13/2020 – 9/26/2024  |  Account: Meta Ads (PHP)</t>
  </si>
  <si>
    <t>Total Ad Spend</t>
  </si>
  <si>
    <t>Total Refunds</t>
  </si>
  <si>
    <t>Net Spend</t>
  </si>
  <si>
    <t>Transactions</t>
  </si>
  <si>
    <t>Yearly Spend Breakdown</t>
  </si>
  <si>
    <t>Year</t>
  </si>
  <si>
    <t>Ad Spend (PHP)</t>
  </si>
  <si>
    <t>Refunds (PHP)</t>
  </si>
  <si>
    <t>Net (PHP)</t>
  </si>
  <si>
    <t># Transactions</t>
  </si>
  <si>
    <t>Total</t>
  </si>
  <si>
    <t>Date</t>
  </si>
  <si>
    <t>Transaction ID</t>
  </si>
  <si>
    <t>Type</t>
  </si>
  <si>
    <t>Payment Method</t>
  </si>
  <si>
    <t>Amount (PHP)</t>
  </si>
  <si>
    <t>3498323436947455-6705927</t>
  </si>
  <si>
    <t>Payment</t>
  </si>
  <si>
    <t>Ad Account Balance</t>
  </si>
  <si>
    <t>3693367484109711-7085511</t>
  </si>
  <si>
    <t>MasterCard ···· 2794</t>
  </si>
  <si>
    <t>3783466535099810-7094480</t>
  </si>
  <si>
    <t>3701793839933745-7100024</t>
  </si>
  <si>
    <t>3642345602545241-7105799</t>
  </si>
  <si>
    <t>3749971608449302-7214076</t>
  </si>
  <si>
    <t>3763245350455257-7219712</t>
  </si>
  <si>
    <t>3756078407838622-7226218</t>
  </si>
  <si>
    <t>3817002018412922-7232188</t>
  </si>
  <si>
    <t>3891713840941739-7371363</t>
  </si>
  <si>
    <t>4124188604360935-7424099</t>
  </si>
  <si>
    <t>3958855057560956-7429919</t>
  </si>
  <si>
    <t>3806491396130660-7435098</t>
  </si>
  <si>
    <t>3926412420805214-7440192</t>
  </si>
  <si>
    <t>3929099187203204-7445446</t>
  </si>
  <si>
    <t>3884476208332170-7451335</t>
  </si>
  <si>
    <t>3934908109955645-7456914</t>
  </si>
  <si>
    <t>4144874215625707-7465861</t>
  </si>
  <si>
    <t>3928203060626154-7548857</t>
  </si>
  <si>
    <t>4214943421952119-7590722</t>
  </si>
  <si>
    <t>4008437185936070-7595320</t>
  </si>
  <si>
    <t>4051067135006414-7600593</t>
  </si>
  <si>
    <t>3954778854635242-7605817</t>
  </si>
  <si>
    <t>4226762544103540-7611412</t>
  </si>
  <si>
    <t>3903328059780326-7617316</t>
  </si>
  <si>
    <t>4003951136384682-7622674</t>
  </si>
  <si>
    <t>3972300649549728-7628281</t>
  </si>
  <si>
    <t>3969351849844609-7636289</t>
  </si>
  <si>
    <t>3914748321971633-7643336</t>
  </si>
  <si>
    <t>4023342284445564-7734494</t>
  </si>
  <si>
    <t>3962917050488093-7741780</t>
  </si>
  <si>
    <t>4029446990501760-7746693</t>
  </si>
  <si>
    <t>4004139593032499-7751954</t>
  </si>
  <si>
    <t>4034774013302391-7757186</t>
  </si>
  <si>
    <t>4009639719149153-7762589</t>
  </si>
  <si>
    <t>4034852253294568-7768696</t>
  </si>
  <si>
    <t>5031720973607681-9555317</t>
  </si>
  <si>
    <t>MasterCard ···· 8301</t>
  </si>
  <si>
    <t>5036355126477599-9566096</t>
  </si>
  <si>
    <t>5072806712832447-9571792</t>
  </si>
  <si>
    <t>4980114788768304-9577101</t>
  </si>
  <si>
    <t>5097452763701174-9582627</t>
  </si>
  <si>
    <t>5018823684897411-9588243</t>
  </si>
  <si>
    <t>4968815193231596-9594281</t>
  </si>
  <si>
    <t>5052414494871662-9600358</t>
  </si>
  <si>
    <t>5110420092404437-9674717</t>
  </si>
  <si>
    <t>5125188744260910-9683392</t>
  </si>
  <si>
    <t>5012533745526407-9690048</t>
  </si>
  <si>
    <t>5069262936520152-9695854</t>
  </si>
  <si>
    <t>5037414953038287-9701323</t>
  </si>
  <si>
    <t>5152168664896251-9737833</t>
  </si>
  <si>
    <t>5039338036179311-9743332</t>
  </si>
  <si>
    <t>5177918638987919-9748785</t>
  </si>
  <si>
    <t>5340327452747038-9754267</t>
  </si>
  <si>
    <t>5067279116718537-9760073</t>
  </si>
  <si>
    <t>5071497256296724-9766001</t>
  </si>
  <si>
    <t>5108385959274516-9772258</t>
  </si>
  <si>
    <t>5111293628983749-9777946</t>
  </si>
  <si>
    <t>5114344445345334-9783156</t>
  </si>
  <si>
    <t>5115477198565396-9857783</t>
  </si>
  <si>
    <t>5096699047109876-9863112</t>
  </si>
  <si>
    <t>5204014539711658-9869242</t>
  </si>
  <si>
    <t>5397385800374536-9875801</t>
  </si>
  <si>
    <t>5241206322659150-9881569</t>
  </si>
  <si>
    <t>5224910074288776-9887336</t>
  </si>
  <si>
    <t>5065802443532876-9893332</t>
  </si>
  <si>
    <t>5134411380005311-9899659</t>
  </si>
  <si>
    <t>5071468686299585-9905528</t>
  </si>
  <si>
    <t>5119541081492339-9912385</t>
  </si>
  <si>
    <t>5121684061278041-9916498</t>
  </si>
  <si>
    <t>5180632068716571-9922125</t>
  </si>
  <si>
    <t>5148437921935990-9928092</t>
  </si>
  <si>
    <t>5085928981520222-9934209</t>
  </si>
  <si>
    <t>5152227178223730-9940654</t>
  </si>
  <si>
    <t>5154992621280519-9946458</t>
  </si>
  <si>
    <t>5094474897332297-9951816</t>
  </si>
  <si>
    <t>5162644857181963-9957567</t>
  </si>
  <si>
    <t>5449380828508366-9986401</t>
  </si>
  <si>
    <t>5174186136027834-9990849</t>
  </si>
  <si>
    <t>5262800413833070-9996140</t>
  </si>
  <si>
    <t>5279420785504371-10001536</t>
  </si>
  <si>
    <t>5220431378069973-10007458</t>
  </si>
  <si>
    <t>5121211491325304-10013405</t>
  </si>
  <si>
    <t>5464886603624455-10019965</t>
  </si>
  <si>
    <t>5191863037593478-10026413</t>
  </si>
  <si>
    <t>5192367180876396-10032011</t>
  </si>
  <si>
    <t>5475968895849559-10044476</t>
  </si>
  <si>
    <t>5182010388578741-10048752</t>
  </si>
  <si>
    <t>5305574552888994-10055254</t>
  </si>
  <si>
    <t>5485000664946382-10062136</t>
  </si>
  <si>
    <t>5249698125143298-10069353</t>
  </si>
  <si>
    <t>5213368655442915-10075141</t>
  </si>
  <si>
    <t>5153078161471970-10080887</t>
  </si>
  <si>
    <t>5218808521565595-10087110</t>
  </si>
  <si>
    <t>5284418431671266-10093377</t>
  </si>
  <si>
    <t>5226745900771858-10099600</t>
  </si>
  <si>
    <t>5162644857181963-10248556</t>
  </si>
  <si>
    <t>Refund</t>
  </si>
  <si>
    <t>5591004337679347-10302557</t>
  </si>
  <si>
    <t>5593332300779884-10306612</t>
  </si>
  <si>
    <t>5378722755574166-10312207</t>
  </si>
  <si>
    <t>5300482640064848-10318260</t>
  </si>
  <si>
    <t>5604585809654533-10331107</t>
  </si>
  <si>
    <t>5414640141982429-10337028</t>
  </si>
  <si>
    <t>5329221887190924-10342406</t>
  </si>
  <si>
    <t>5314452598667852-10348322</t>
  </si>
  <si>
    <t>5865322706914167-11441154</t>
  </si>
  <si>
    <t>5911749458938159-11452720</t>
  </si>
  <si>
    <t>5807520849361022-11459239</t>
  </si>
  <si>
    <t>5892861410826962-11466493</t>
  </si>
  <si>
    <t>5839384636174645-11482529</t>
  </si>
  <si>
    <t>5842057315907377-11488902</t>
  </si>
  <si>
    <t>6128309070615535-11496634</t>
  </si>
  <si>
    <t>5909452725834497-11503503</t>
  </si>
  <si>
    <t>5896903440422760-11510227</t>
  </si>
  <si>
    <t>5983373415109100-11519588</t>
  </si>
  <si>
    <t>5982096781903430-11516828</t>
  </si>
  <si>
    <t>5918920664887703-11523765</t>
  </si>
  <si>
    <t>5906800632766374-11531000</t>
  </si>
  <si>
    <t>5795715877208192-11533845</t>
  </si>
  <si>
    <t>5910276932418744-11538961</t>
  </si>
  <si>
    <t>5995591270553981-11546695</t>
  </si>
  <si>
    <t>5957181687728269-11554452</t>
  </si>
  <si>
    <t>5876118102501298-11564624</t>
  </si>
  <si>
    <t>5874902415956200-11561547</t>
  </si>
  <si>
    <t>5870643656382075-11568513</t>
  </si>
  <si>
    <t>5966939633419141-11577873</t>
  </si>
  <si>
    <t>5863150463798060-11586227</t>
  </si>
  <si>
    <t>5948633888583047-11594195</t>
  </si>
  <si>
    <t>5936894176423686-11602189</t>
  </si>
  <si>
    <t>5955330527913383-11610031</t>
  </si>
  <si>
    <t>5943378499108587-11617014</t>
  </si>
  <si>
    <t>6012519705527805-11626577</t>
  </si>
  <si>
    <t>6188475804598861-11631996</t>
  </si>
  <si>
    <t>6192292830883825-11639700</t>
  </si>
  <si>
    <t>5890042161108890-11647309</t>
  </si>
  <si>
    <t>6025634967549612-11654809</t>
  </si>
  <si>
    <t>6202616079851500-11662418</t>
  </si>
  <si>
    <t>5965524430227327-11665319</t>
  </si>
  <si>
    <t>6206189842827457-11669307</t>
  </si>
  <si>
    <t>6053016184811489-11677051</t>
  </si>
  <si>
    <t>6013516722094765-11684483</t>
  </si>
  <si>
    <t>5977895062323597-11692008</t>
  </si>
  <si>
    <t>5913825345397238-11699712</t>
  </si>
  <si>
    <t>5937802766332831-11707662</t>
  </si>
  <si>
    <t>5987225131390590-11715771</t>
  </si>
  <si>
    <t>6228304883949286-11722501</t>
  </si>
  <si>
    <t>5881192491993863-11734037</t>
  </si>
  <si>
    <t>6034662773313493-11737188</t>
  </si>
  <si>
    <t>5952254674887640-11744187</t>
  </si>
  <si>
    <t>6040648172714953-11751782</t>
  </si>
  <si>
    <t>5950948178351622-11759242</t>
  </si>
  <si>
    <t>5897314760381636-11773211</t>
  </si>
  <si>
    <t>6256422064470901-11791318</t>
  </si>
  <si>
    <t>5909113689201743-11801738</t>
  </si>
  <si>
    <t>6064139333699170-11810297</t>
  </si>
  <si>
    <t>6042212492558519-11818389</t>
  </si>
  <si>
    <t>5990943437685430-11840166</t>
  </si>
  <si>
    <t>6053813331398435-11846742</t>
  </si>
  <si>
    <t>5996653380447769-11854461</t>
  </si>
  <si>
    <t>5999958233450617-11862091</t>
  </si>
  <si>
    <t>6288176984628742-11868998</t>
  </si>
  <si>
    <t>5985044804941958-11875627</t>
  </si>
  <si>
    <t>6068917543221347-11882216</t>
  </si>
  <si>
    <t>6070885873024514-11887315</t>
  </si>
  <si>
    <t>6298223203624120-11891475</t>
  </si>
  <si>
    <t>6060110527435383-11889253</t>
  </si>
  <si>
    <t>6300457363400704-11896235</t>
  </si>
  <si>
    <t>6103506369762466-11904417</t>
  </si>
  <si>
    <t>6013933345386438-11911953</t>
  </si>
  <si>
    <t>6109583842488052-11919374</t>
  </si>
  <si>
    <t>6312889572157483-11926135</t>
  </si>
  <si>
    <t>6164163647030075-11941268</t>
  </si>
  <si>
    <t>6026816327431473-11941296</t>
  </si>
  <si>
    <t>6121939614585808-11947066</t>
  </si>
  <si>
    <t>6032532300193209-11954798</t>
  </si>
  <si>
    <t>6035736333206139-11963171</t>
  </si>
  <si>
    <t>6176540202459086-11970676</t>
  </si>
  <si>
    <t>6161782123934895-11976822</t>
  </si>
  <si>
    <t>6031565736956531-11983724</t>
  </si>
  <si>
    <t>6118501038262997-11998865</t>
  </si>
  <si>
    <t>6108021129310989-11998903</t>
  </si>
  <si>
    <t>6192374827542290-12004604</t>
  </si>
  <si>
    <t>6177775582335549-12012073</t>
  </si>
  <si>
    <t>6117078888405213-12018882</t>
  </si>
  <si>
    <t>6050220945091010-12027067</t>
  </si>
  <si>
    <t>6361028464010260-12036730</t>
  </si>
  <si>
    <t>6008325815947196-12036658</t>
  </si>
  <si>
    <t>6162645170515252-12043126</t>
  </si>
  <si>
    <t>6193983090714798-12050121</t>
  </si>
  <si>
    <t>6017708215008956-12057501</t>
  </si>
  <si>
    <t>6022191871227257-12066986</t>
  </si>
  <si>
    <t>6173894209390348-12067017</t>
  </si>
  <si>
    <t>6022299911216453-12067206</t>
  </si>
  <si>
    <t>6176168355829600-12072090</t>
  </si>
  <si>
    <t>6207551856024588-12078325</t>
  </si>
  <si>
    <t>6384111041702002-12085547</t>
  </si>
  <si>
    <t>6150932258353209-12092605</t>
  </si>
  <si>
    <t>6101021613344278-12092284</t>
  </si>
  <si>
    <t>6097204880392617-12099913</t>
  </si>
  <si>
    <t>6239209709525468-12107028</t>
  </si>
  <si>
    <t>6170306399749127-12115141</t>
  </si>
  <si>
    <t>6161782123934895-12116889</t>
  </si>
  <si>
    <t>6031565736956531-12117993</t>
  </si>
  <si>
    <t>6114067008706405-12124321</t>
  </si>
  <si>
    <t>6096382417141529-12132117</t>
  </si>
  <si>
    <t>6120460611400378-12139642</t>
  </si>
  <si>
    <t>6102884643157973-12146845</t>
  </si>
  <si>
    <t>6178330165613418-12156121</t>
  </si>
  <si>
    <t>6240347759411664-12154424</t>
  </si>
  <si>
    <t>6259869920792780-12156080</t>
  </si>
  <si>
    <t>6417312165048556-12162112</t>
  </si>
  <si>
    <t>6067571906689253-12170123</t>
  </si>
  <si>
    <t>6137973742982398-12177263</t>
  </si>
  <si>
    <t>6192243180888783-12183678</t>
  </si>
  <si>
    <t>6258106494302457-12190676</t>
  </si>
  <si>
    <t>6199250146854753-12198278</t>
  </si>
  <si>
    <t>6438929206220185-12206392</t>
  </si>
  <si>
    <t>6443031255809980-12215865</t>
  </si>
  <si>
    <t>6135250913254679-12215940</t>
  </si>
  <si>
    <t>6151952458251192-12222707</t>
  </si>
  <si>
    <t>6141944599251977-12230460</t>
  </si>
  <si>
    <t>6225546120891821-12237555</t>
  </si>
  <si>
    <t>6254484374664664-12244799</t>
  </si>
  <si>
    <t>6106993536080423-12253733</t>
  </si>
  <si>
    <t>6460073070772465-12252230</t>
  </si>
  <si>
    <t>6224488174330950-12253707</t>
  </si>
  <si>
    <t>6110047299108380-12261150</t>
  </si>
  <si>
    <t>6113667492079694-12269272</t>
  </si>
  <si>
    <t>6116995905080186-12277239</t>
  </si>
  <si>
    <t>6319337424846029-12284465</t>
  </si>
  <si>
    <t>6302607719852334-12291239</t>
  </si>
  <si>
    <t>6244367715676329-12298133</t>
  </si>
  <si>
    <t>6248236545289446-12306586</t>
  </si>
  <si>
    <t>6176197469160023-12306650</t>
  </si>
  <si>
    <t>6133350640111379-12312723</t>
  </si>
  <si>
    <t>6316057878507318-12320252</t>
  </si>
  <si>
    <t>6206730846106687-12328130</t>
  </si>
  <si>
    <t>6262408240538943-12335225</t>
  </si>
  <si>
    <t>6299023850210716-12341906</t>
  </si>
  <si>
    <t>6330585577054548-12348819</t>
  </si>
  <si>
    <t>6205225976257172-12364371</t>
  </si>
  <si>
    <t>6513597548753350-12364391</t>
  </si>
  <si>
    <t>6221687987944305-12370536</t>
  </si>
  <si>
    <t>6166265476819895-12378138</t>
  </si>
  <si>
    <t>6235845723195199-12385102</t>
  </si>
  <si>
    <t>6527570464022725-12391006</t>
  </si>
  <si>
    <t>6176677592445350-12397446</t>
  </si>
  <si>
    <t>6246299345483170-12403951</t>
  </si>
  <si>
    <t>6536119156501189-12406230</t>
  </si>
  <si>
    <t>6243414839104953-12410841</t>
  </si>
  <si>
    <t>6335894596523641-12412243</t>
  </si>
  <si>
    <t>6253878378058600-12417600</t>
  </si>
  <si>
    <t>6317342145045551-12425013</t>
  </si>
  <si>
    <t>6374067599373012-12431638</t>
  </si>
  <si>
    <t>6398546013591836-12437854</t>
  </si>
  <si>
    <t>6261119390667831-12444431</t>
  </si>
  <si>
    <t>6384408275005611-12451408</t>
  </si>
  <si>
    <t>6327675607345539-12459307</t>
  </si>
  <si>
    <t>6330517537061346-12464911</t>
  </si>
  <si>
    <t>6215805711865871-12474079</t>
  </si>
  <si>
    <t>6219325931513849-12481758</t>
  </si>
  <si>
    <t>6373122442800856-12488105</t>
  </si>
  <si>
    <t>6580824485363989-12494696</t>
  </si>
  <si>
    <t>6429130287200075-12501530</t>
  </si>
  <si>
    <t>6312889572157483-12578753</t>
  </si>
  <si>
    <t>6394975317282234-12606822</t>
  </si>
  <si>
    <t>6455269337919504-12606728</t>
  </si>
  <si>
    <t>6278040462309062-12610220</t>
  </si>
  <si>
    <t>6637600016353102-12617296</t>
  </si>
  <si>
    <t>6330604497052652-12624900</t>
  </si>
  <si>
    <t>6438165112963255-12629417</t>
  </si>
  <si>
    <t>6333842846728817-12631844</t>
  </si>
  <si>
    <t>6336826299763805-12637859</t>
  </si>
  <si>
    <t>6473422752770829-12644579</t>
  </si>
  <si>
    <t>6362981233814980-12652190</t>
  </si>
  <si>
    <t>6346505082129260-12659126</t>
  </si>
  <si>
    <t>6444909405622157-12704994</t>
  </si>
  <si>
    <t>6381509071962195-12710415</t>
  </si>
  <si>
    <t>6391542974292139-12717735</t>
  </si>
  <si>
    <t>6454337408012690-12725511</t>
  </si>
  <si>
    <t>6483643251748774-12732708</t>
  </si>
  <si>
    <t>6336458933133881-12739556</t>
  </si>
  <si>
    <t>6244367715676329-12914539</t>
  </si>
  <si>
    <t>6244367715676329-12950184</t>
  </si>
  <si>
    <t>6336458933133881-13284534</t>
  </si>
  <si>
    <t>6951954578250971-13799720</t>
  </si>
  <si>
    <t>7112233665556397-13802149</t>
  </si>
  <si>
    <t>7115896085190155-13807122</t>
  </si>
  <si>
    <t>7119552311491199-13812435</t>
  </si>
  <si>
    <t>7067314096715017-13817832</t>
  </si>
  <si>
    <t>6987884961324601-13823049</t>
  </si>
  <si>
    <t>6983872985059131-13827776</t>
  </si>
  <si>
    <t>7052157651563994-13832453</t>
  </si>
  <si>
    <t>7081578981955195-13837663</t>
  </si>
  <si>
    <t>7063705023742589-13850809</t>
  </si>
  <si>
    <t>7093206574125769-13853892</t>
  </si>
  <si>
    <t>7069712769808481-13859065</t>
  </si>
  <si>
    <t>7017508718362225-13864040</t>
  </si>
  <si>
    <t>7076882505758174-13868718</t>
  </si>
  <si>
    <t>6960445130735255-13873879</t>
  </si>
  <si>
    <t>7010337355746026-13878804</t>
  </si>
  <si>
    <t>6968044093308692-13883761</t>
  </si>
  <si>
    <t>7018708888242206-13888899</t>
  </si>
  <si>
    <t>7169741066472319-13949041</t>
  </si>
  <si>
    <t>7089230454523384-13950869</t>
  </si>
  <si>
    <t>7204891369623960-13955774</t>
  </si>
  <si>
    <t>7090188171094278-13960199</t>
  </si>
  <si>
    <t>7240816106031485-13964150</t>
  </si>
  <si>
    <t>7087957784650649-13968201</t>
  </si>
  <si>
    <t>7191293827650376-13972289</t>
  </si>
  <si>
    <t>7252090441570718-13976665</t>
  </si>
  <si>
    <t>7407428752703554-13981306</t>
  </si>
  <si>
    <t>7079905545455879-14010138</t>
  </si>
  <si>
    <t>7128402093939551-14011866</t>
  </si>
  <si>
    <t>7086016824844751-14017171</t>
  </si>
  <si>
    <t>7444460072333755-14022250</t>
  </si>
  <si>
    <t>7094843857295381-14026254</t>
  </si>
  <si>
    <t>7218603641586059-14030459</t>
  </si>
  <si>
    <t>7248808831898875-14034640</t>
  </si>
  <si>
    <t>7470649553048140-14049518</t>
  </si>
  <si>
    <t>7265961720183586-14054232</t>
  </si>
  <si>
    <t>7327647577348337-14058520</t>
  </si>
  <si>
    <t>7176406879139072-14062926</t>
  </si>
  <si>
    <t>7336021893177572-14067457</t>
  </si>
  <si>
    <t>7176406879139072-14418388</t>
  </si>
  <si>
    <t>7115896085190155-14716590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</si>
</sst>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₱#,##0.00;&quot;(₱&quot;#,##0.00\)"/>
    <numFmt numFmtId="165" formatCode="mm/dd/yyyy"/>
  </numFmts>
  <fonts count="10" x14ac:knownFonts="1">
    <font>
      <sz val="11"/>
      <color theme="1"/>
      <name val="Calibri"/>
      <family val="2"/>
      <charset val="1"/>
    </font>
    <font>
      <b/>
      <sz val="18"/>
      <color rgb="FF2F3B2E"/>
      <name val="Lora"/>
      <charset val="1"/>
    </font>
    <font>
      <i/>
      <sz val="11"/>
      <color rgb="FF8A8A8A"/>
      <name val="Poppins"/>
      <charset val="1"/>
    </font>
    <font>
      <sz val="10"/>
      <color rgb="FF8A8A8A"/>
      <name val="Poppins"/>
      <charset val="1"/>
    </font>
    <font>
      <b/>
      <sz val="10"/>
      <color rgb="FFFFFFFF"/>
      <name val="Poppins"/>
      <charset val="1"/>
    </font>
    <font>
      <b/>
      <sz val="14"/>
      <color rgb="FF6B5B95"/>
      <name val="Poppins"/>
      <charset val="1"/>
    </font>
    <font>
      <b/>
      <sz val="13"/>
      <color rgb="FF2F3B2E"/>
      <name val="Lora"/>
      <charset val="1"/>
    </font>
    <font>
      <b/>
      <sz val="11"/>
      <color rgb="FFFFFFFF"/>
      <name val="Poppins"/>
      <charset val="1"/>
    </font>
    <font>
      <sz val="10"/>
      <color rgb="FF2F3B2E"/>
      <name val="Poppins"/>
      <charset val="1"/>
    </font>
    <font>
      <b/>
      <sz val="11"/>
      <color rgb="FF2F3B2E"/>
      <name val="Poppins"/>
      <charset val="1"/>
    </font>
  </fonts>
  <fills count="7">
    <fill>
      <patternFill patternType="none"/>
    </fill>
    <fill>
      <patternFill patternType="gray125"/>
    </fill>
    <fill>
      <patternFill patternType="solid">
        <fgColor rgb="FF2F3B2E"/>
        <bgColor rgb="FF333300"/>
      </patternFill>
    </fill>
    <fill>
      <patternFill patternType="solid">
        <fgColor rgb="FFF4F1EE"/>
        <bgColor rgb="FFF9F9F9"/>
      </patternFill>
    </fill>
    <fill>
      <patternFill patternType="solid">
        <fgColor rgb="FF6B5B95"/>
        <bgColor rgb="FF878787"/>
      </patternFill>
    </fill>
    <fill>
      <patternFill patternType="solid">
        <fgColor rgb="FFFFFFFF"/>
        <bgColor rgb="FFF9F9F9"/>
      </patternFill>
    </fill>
    <fill>
      <patternFill patternType="solid">
        <fgColor rgb="FFE4E0F0"/>
        <bgColor rgb="FFD9D9D9"/>
      </patternFill>
    </fill>
  </fills>
  <borders count="2">
    <border>
      <left/>
      <right/>
      <top/>
      <bottom/>
      <diagonal/>
    </border>
    <border>
      <left style="thin">
        <color rgb="FFDDD8D2"/>
      </left>
      <right style="thin">
        <color rgb="FFDDD8D2"/>
      </right>
      <top style="thin">
        <color rgb="FFDDD8D2"/>
      </top>
      <bottom style="thin">
        <color rgb="FFDDD8D2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/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4" borderId="0" xfId="0" applyFont="1" applyFill="1" applyAlignment="1">
      <alignment horizontal="center"/>
    </xf>
    <xf numFmtId="0" fontId="8" fillId="3" borderId="1" xfId="0" applyFont="1" applyFill="1" applyBorder="1" applyAlignment="1">
      <alignment horizontal="center"/>
    </xf>
    <xf numFmtId="164" fontId="8" fillId="3" borderId="1" xfId="0" applyNumberFormat="1" applyFont="1" applyFill="1" applyBorder="1"/>
    <xf numFmtId="0" fontId="8" fillId="5" borderId="1" xfId="0" applyFont="1" applyFill="1" applyBorder="1" applyAlignment="1">
      <alignment horizontal="center"/>
    </xf>
    <xf numFmtId="164" fontId="8" fillId="5" borderId="1" xfId="0" applyNumberFormat="1" applyFont="1" applyFill="1" applyBorder="1"/>
    <xf numFmtId="0" fontId="9" fillId="6" borderId="1" xfId="0" applyFont="1" applyFill="1" applyBorder="1"/>
    <xf numFmtId="164" fontId="9" fillId="6" borderId="1" xfId="0" applyNumberFormat="1" applyFont="1" applyFill="1" applyBorder="1"/>
    <xf numFmtId="0" fontId="7" fillId="2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/>
    </xf>
    <xf numFmtId="0" fontId="8" fillId="3" borderId="0" xfId="0" applyFont="1" applyFill="1"/>
    <xf numFmtId="0" fontId="8" fillId="3" borderId="0" xfId="0" applyFont="1" applyFill="1" applyAlignment="1">
      <alignment horizontal="center"/>
    </xf>
    <xf numFmtId="164" fontId="8" fillId="3" borderId="0" xfId="0" applyNumberFormat="1" applyFont="1" applyFill="1"/>
    <xf numFmtId="165" fontId="8" fillId="5" borderId="0" xfId="0" applyNumberFormat="1" applyFont="1" applyFill="1" applyAlignment="1">
      <alignment horizontal="center"/>
    </xf>
    <xf numFmtId="0" fontId="8" fillId="5" borderId="0" xfId="0" applyFont="1" applyFill="1"/>
    <xf numFmtId="0" fontId="8" fillId="5" borderId="0" xfId="0" applyFont="1" applyFill="1" applyAlignment="1">
      <alignment horizontal="center"/>
    </xf>
    <xf numFmtId="164" fontId="8" fillId="5" borderId="0" xfId="0" applyNumberFormat="1" applyFont="1" applyFill="1"/>
  </cellXfs>
  <cellStyles count="1">
    <cellStyle name="Normal" xfId="0" builtinId="0"/>
  </cellStyles>
  <dxfs count="1">
    <dxf>
      <font>
        <b/>
        <color rgb="FFB23A3A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DD8D2"/>
      <rgbColor rgb="FF878787"/>
      <rgbColor rgb="FF9999FF"/>
      <rgbColor rgb="FFB23A3A"/>
      <rgbColor rgb="FFF9F9F9"/>
      <rgbColor rgb="FFF4F1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E0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B95"/>
      <rgbColor rgb="FF8A8A8A"/>
      <rgbColor rgb="FF003366"/>
      <rgbColor rgb="FF339966"/>
      <rgbColor rgb="FF003300"/>
      <rgbColor rgb="FF333300"/>
      <rgbColor rgb="FF993300"/>
      <rgbColor rgb="FF993366"/>
      <rgbColor rgb="FF333399"/>
      <rgbColor rgb="FF2F3B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PH" sz="1800" b="1" strike="noStrike" spc="-1">
                <a:solidFill>
                  <a:srgbClr val="000000"/>
                </a:solidFill>
                <a:latin typeface="Calibri"/>
              </a:rPr>
              <a:t>Ad Spend by Year (PHP)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Summary!$C$11</c:f>
              <c:strCache>
                <c:ptCount val="1"/>
                <c:pt idx="0">
                  <c:v>Ad Spend (PHP)</c:v>
                </c:pt>
              </c:strCache>
            </c:strRef>
          </c:tx>
          <c:spPr>
            <a:solidFill>
              <a:srgbClr val="6B5B9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Summary!$B$12:$B$16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Summary!$C$12:$C$16</c:f>
              <c:numCache>
                <c:formatCode>\₱#,##0.00;"(₱"#,##0.00\)</c:formatCode>
                <c:ptCount val="5"/>
                <c:pt idx="0">
                  <c:v>100</c:v>
                </c:pt>
                <c:pt idx="1">
                  <c:v>15099.999999999998</c:v>
                </c:pt>
                <c:pt idx="2">
                  <c:v>17978.38</c:v>
                </c:pt>
                <c:pt idx="3">
                  <c:v>229021.61</c:v>
                </c:pt>
                <c:pt idx="4">
                  <c:v>10998.109999999999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AA-4E4B-BE1B-6C08D9663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64173"/>
        <c:axId val="2240801"/>
      </c:barChart>
      <c:catAx>
        <c:axId val="94641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PH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40801"/>
        <c:crosses val="autoZero"/>
        <c:auto val="1"/>
        <c:lblAlgn val="ctr"/>
        <c:lblOffset val="100"/>
        <c:noMultiLvlLbl val="0"/>
      </c:catAx>
      <c:valAx>
        <c:axId val="22408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PH" sz="1000" b="1" strike="noStrike" spc="-1">
                    <a:solidFill>
                      <a:srgbClr val="000000"/>
                    </a:solidFill>
                    <a:latin typeface="Calibri"/>
                  </a:rPr>
                  <a:t>PHP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₱#,##0.00;&quot;(₱&quot;#,##0.0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641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101160</xdr:rowOff>
    </xdr:from>
    <xdr:to>
      <xdr:col>16</xdr:col>
      <xdr:colOff>255960</xdr:colOff>
      <xdr:row>20</xdr:row>
      <xdr:rowOff>59040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3B2E"/>
  </sheetPr>
  <dimension ref="B2:F17"/>
  <sheetViews>
    <sheetView showGridLines="0" tabSelected="1" zoomScaleNormal="100" workbookViewId="0">
      <selection activeCell="V14" sqref="V14"/>
    </sheetView>
  </sheetViews>
  <sheetFormatPr defaultColWidth="8.7109375" defaultRowHeight="15" x14ac:dyDescent="0.25"/>
  <cols>
    <col min="1" max="1" width="3" customWidth="1"/>
    <col min="2" max="2" width="22" customWidth="1"/>
    <col min="3" max="6" width="18" customWidth="1"/>
    <col min="7" max="7" width="3" customWidth="1"/>
  </cols>
  <sheetData>
    <row r="2" spans="2:6" ht="23.25" x14ac:dyDescent="0.35">
      <c r="B2" s="3" t="s">
        <v>0</v>
      </c>
      <c r="C2" s="3"/>
      <c r="D2" s="3"/>
      <c r="E2" s="3"/>
      <c r="F2" s="3"/>
    </row>
    <row r="3" spans="2:6" ht="21.75" x14ac:dyDescent="0.6">
      <c r="B3" s="2" t="s">
        <v>1</v>
      </c>
      <c r="C3" s="2"/>
      <c r="D3" s="2"/>
      <c r="E3" s="2"/>
      <c r="F3" s="2"/>
    </row>
    <row r="4" spans="2:6" ht="19.5" x14ac:dyDescent="0.55000000000000004">
      <c r="B4" s="1" t="s">
        <v>2</v>
      </c>
      <c r="C4" s="1"/>
      <c r="D4" s="1"/>
      <c r="E4" s="1"/>
      <c r="F4" s="1"/>
    </row>
    <row r="6" spans="2:6" ht="21.75" customHeight="1" x14ac:dyDescent="0.25">
      <c r="B6" s="4" t="s">
        <v>3</v>
      </c>
      <c r="C6" s="4" t="s">
        <v>4</v>
      </c>
      <c r="D6" s="4" t="s">
        <v>5</v>
      </c>
      <c r="E6" s="4" t="s">
        <v>6</v>
      </c>
    </row>
    <row r="7" spans="2:6" ht="25.5" customHeight="1" x14ac:dyDescent="0.25">
      <c r="B7" s="5">
        <f>SUMIF(Transactions!C2:C326,"Payment",Transactions!E2:E326)</f>
        <v>273198.09999999998</v>
      </c>
      <c r="C7" s="5">
        <f>SUMIF(Transactions!C2:C326,"Refund",Transactions!E2:E326)</f>
        <v>-621.96999999999991</v>
      </c>
      <c r="D7" s="5">
        <f>B7+C7</f>
        <v>272576.13</v>
      </c>
      <c r="E7" s="6">
        <f>COUNTA(Transactions!A2:A326)</f>
        <v>325</v>
      </c>
    </row>
    <row r="10" spans="2:6" ht="17.25" x14ac:dyDescent="0.3">
      <c r="B10" s="7" t="s">
        <v>7</v>
      </c>
    </row>
    <row r="11" spans="2:6" ht="21.75" x14ac:dyDescent="0.6">
      <c r="B11" s="8" t="s">
        <v>8</v>
      </c>
      <c r="C11" s="8" t="s">
        <v>9</v>
      </c>
      <c r="D11" s="8" t="s">
        <v>10</v>
      </c>
      <c r="E11" s="8" t="s">
        <v>11</v>
      </c>
      <c r="F11" s="8" t="s">
        <v>12</v>
      </c>
    </row>
    <row r="12" spans="2:6" ht="19.5" x14ac:dyDescent="0.55000000000000004">
      <c r="B12" s="9">
        <v>2020</v>
      </c>
      <c r="C12" s="10">
        <f>SUMIFS(Transactions!$E$2:$E$326,Transactions!$C$2:$C$326,"Payment",Transactions!$F$2:$F$326,$B12)</f>
        <v>100</v>
      </c>
      <c r="D12" s="10">
        <f>SUMIFS(Transactions!$E$2:$E$326,Transactions!$C$2:$C$326,"Refund",Transactions!$F$2:$F$326,$B12)</f>
        <v>0</v>
      </c>
      <c r="E12" s="10">
        <f>C12+D12</f>
        <v>100</v>
      </c>
      <c r="F12" s="9">
        <f>COUNTIFS(Transactions!$F$2:$F$326,$B12)</f>
        <v>1</v>
      </c>
    </row>
    <row r="13" spans="2:6" ht="19.5" x14ac:dyDescent="0.55000000000000004">
      <c r="B13" s="11">
        <v>2021</v>
      </c>
      <c r="C13" s="12">
        <f>SUMIFS(Transactions!$E$2:$E$326,Transactions!$C$2:$C$326,"Payment",Transactions!$F$2:$F$326,$B13)</f>
        <v>15099.999999999998</v>
      </c>
      <c r="D13" s="12">
        <f>SUMIFS(Transactions!$E$2:$E$326,Transactions!$C$2:$C$326,"Refund",Transactions!$F$2:$F$326,$B13)</f>
        <v>0</v>
      </c>
      <c r="E13" s="12">
        <f>C13+D13</f>
        <v>15099.999999999998</v>
      </c>
      <c r="F13" s="11">
        <f>COUNTIFS(Transactions!$F$2:$F$326,$B13)</f>
        <v>35</v>
      </c>
    </row>
    <row r="14" spans="2:6" ht="19.5" x14ac:dyDescent="0.55000000000000004">
      <c r="B14" s="9">
        <v>2022</v>
      </c>
      <c r="C14" s="10">
        <f>SUMIFS(Transactions!$E$2:$E$326,Transactions!$C$2:$C$326,"Payment",Transactions!$F$2:$F$326,$B14)</f>
        <v>17978.38</v>
      </c>
      <c r="D14" s="10">
        <f>SUMIFS(Transactions!$E$2:$E$326,Transactions!$C$2:$C$326,"Refund",Transactions!$F$2:$F$326,$B14)</f>
        <v>-15.68</v>
      </c>
      <c r="E14" s="10">
        <f>C14+D14</f>
        <v>17962.7</v>
      </c>
      <c r="F14" s="9">
        <f>COUNTIFS(Transactions!$F$2:$F$326,$B14)</f>
        <v>68</v>
      </c>
    </row>
    <row r="15" spans="2:6" ht="19.5" x14ac:dyDescent="0.55000000000000004">
      <c r="B15" s="11">
        <v>2023</v>
      </c>
      <c r="C15" s="12">
        <f>SUMIFS(Transactions!$E$2:$E$326,Transactions!$C$2:$C$326,"Payment",Transactions!$F$2:$F$326,$B15)</f>
        <v>229021.61</v>
      </c>
      <c r="D15" s="12">
        <f>SUMIFS(Transactions!$E$2:$E$326,Transactions!$C$2:$C$326,"Refund",Transactions!$F$2:$F$326,$B15)</f>
        <v>-604.7299999999999</v>
      </c>
      <c r="E15" s="12">
        <f>C15+D15</f>
        <v>228416.87999999998</v>
      </c>
      <c r="F15" s="11">
        <f>COUNTIFS(Transactions!$F$2:$F$326,$B15)</f>
        <v>180</v>
      </c>
    </row>
    <row r="16" spans="2:6" ht="19.5" x14ac:dyDescent="0.55000000000000004">
      <c r="B16" s="9">
        <v>2024</v>
      </c>
      <c r="C16" s="10">
        <f>SUMIFS(Transactions!$E$2:$E$326,Transactions!$C$2:$C$326,"Payment",Transactions!$F$2:$F$326,$B16)</f>
        <v>10998.109999999999</v>
      </c>
      <c r="D16" s="10">
        <f>SUMIFS(Transactions!$E$2:$E$326,Transactions!$C$2:$C$326,"Refund",Transactions!$F$2:$F$326,$B16)</f>
        <v>-1.56</v>
      </c>
      <c r="E16" s="10">
        <f>C16+D16</f>
        <v>10996.55</v>
      </c>
      <c r="F16" s="9">
        <f>COUNTIFS(Transactions!$F$2:$F$326,$B16)</f>
        <v>41</v>
      </c>
    </row>
    <row r="17" spans="2:6" ht="21.75" x14ac:dyDescent="0.6">
      <c r="B17" s="13" t="s">
        <v>13</v>
      </c>
      <c r="C17" s="14">
        <f>SUM(C12:C16)</f>
        <v>273198.09999999998</v>
      </c>
      <c r="D17" s="14">
        <f>SUM(D12:D16)</f>
        <v>-621.9699999999998</v>
      </c>
      <c r="E17" s="14">
        <f>SUM(E12:E16)</f>
        <v>272576.12999999995</v>
      </c>
      <c r="F17" s="13">
        <f>SUM(F12:F16)</f>
        <v>325</v>
      </c>
    </row>
  </sheetData>
  <mergeCells count="3">
    <mergeCell ref="B2:F2"/>
    <mergeCell ref="B3:F3"/>
    <mergeCell ref="B4:F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B5B95"/>
  </sheetPr>
  <dimension ref="A1:F326"/>
  <sheetViews>
    <sheetView showGridLines="0" zoomScaleNormal="100" workbookViewId="0">
      <pane ySplit="1" topLeftCell="A34" activePane="bottomLeft" state="frozen"/>
      <selection pane="bottomLeft" activeCell="H6" sqref="H6"/>
    </sheetView>
  </sheetViews>
  <sheetFormatPr defaultColWidth="8.7109375" defaultRowHeight="15" x14ac:dyDescent="0.25"/>
  <cols>
    <col min="1" max="1" width="11.28515625" bestFit="1" customWidth="1"/>
    <col min="2" max="2" width="29" bestFit="1" customWidth="1"/>
    <col min="3" max="3" width="12" customWidth="1"/>
    <col min="4" max="4" width="22" customWidth="1"/>
    <col min="5" max="5" width="16" customWidth="1"/>
    <col min="6" max="6" width="8" customWidth="1"/>
  </cols>
  <sheetData>
    <row r="1" spans="1:6" ht="21.75" customHeight="1" x14ac:dyDescent="0.25">
      <c r="A1" s="15" t="s">
        <v>14</v>
      </c>
      <c r="B1" s="15" t="s">
        <v>15</v>
      </c>
      <c r="C1" s="15" t="s">
        <v>16</v>
      </c>
      <c r="D1" s="15" t="s">
        <v>17</v>
      </c>
      <c r="E1" s="15" t="s">
        <v>18</v>
      </c>
      <c r="F1" s="15" t="s">
        <v>8</v>
      </c>
    </row>
    <row r="2" spans="1:6" ht="19.5" x14ac:dyDescent="0.55000000000000004">
      <c r="A2" s="16">
        <v>44178</v>
      </c>
      <c r="B2" s="17" t="s">
        <v>19</v>
      </c>
      <c r="C2" s="18" t="s">
        <v>20</v>
      </c>
      <c r="D2" s="17" t="s">
        <v>21</v>
      </c>
      <c r="E2" s="19">
        <v>100</v>
      </c>
      <c r="F2" s="18">
        <f t="shared" ref="F2:F65" si="0">YEAR(A2)</f>
        <v>2020</v>
      </c>
    </row>
    <row r="3" spans="1:6" ht="19.5" x14ac:dyDescent="0.55000000000000004">
      <c r="A3" s="20">
        <v>44250</v>
      </c>
      <c r="B3" s="21" t="s">
        <v>22</v>
      </c>
      <c r="C3" s="22" t="s">
        <v>20</v>
      </c>
      <c r="D3" s="21" t="s">
        <v>23</v>
      </c>
      <c r="E3" s="23">
        <v>1000</v>
      </c>
      <c r="F3" s="22">
        <f t="shared" si="0"/>
        <v>2021</v>
      </c>
    </row>
    <row r="4" spans="1:6" ht="19.5" x14ac:dyDescent="0.55000000000000004">
      <c r="A4" s="16">
        <v>44252</v>
      </c>
      <c r="B4" s="17" t="s">
        <v>24</v>
      </c>
      <c r="C4" s="18" t="s">
        <v>20</v>
      </c>
      <c r="D4" s="17" t="s">
        <v>21</v>
      </c>
      <c r="E4" s="19">
        <v>201.15</v>
      </c>
      <c r="F4" s="18">
        <f t="shared" si="0"/>
        <v>2021</v>
      </c>
    </row>
    <row r="5" spans="1:6" ht="19.5" x14ac:dyDescent="0.55000000000000004">
      <c r="A5" s="20">
        <v>44253</v>
      </c>
      <c r="B5" s="21" t="s">
        <v>25</v>
      </c>
      <c r="C5" s="22" t="s">
        <v>20</v>
      </c>
      <c r="D5" s="21" t="s">
        <v>21</v>
      </c>
      <c r="E5" s="23">
        <v>204.63</v>
      </c>
      <c r="F5" s="22">
        <f t="shared" si="0"/>
        <v>2021</v>
      </c>
    </row>
    <row r="6" spans="1:6" ht="19.5" x14ac:dyDescent="0.55000000000000004">
      <c r="A6" s="16">
        <v>44254</v>
      </c>
      <c r="B6" s="17" t="s">
        <v>26</v>
      </c>
      <c r="C6" s="18" t="s">
        <v>20</v>
      </c>
      <c r="D6" s="17" t="s">
        <v>21</v>
      </c>
      <c r="E6" s="19">
        <v>194.09</v>
      </c>
      <c r="F6" s="18">
        <f t="shared" si="0"/>
        <v>2021</v>
      </c>
    </row>
    <row r="7" spans="1:6" ht="19.5" x14ac:dyDescent="0.55000000000000004">
      <c r="A7" s="20">
        <v>44273</v>
      </c>
      <c r="B7" s="21" t="s">
        <v>27</v>
      </c>
      <c r="C7" s="22" t="s">
        <v>20</v>
      </c>
      <c r="D7" s="21" t="s">
        <v>21</v>
      </c>
      <c r="E7" s="23">
        <v>97.98</v>
      </c>
      <c r="F7" s="22">
        <f t="shared" si="0"/>
        <v>2021</v>
      </c>
    </row>
    <row r="8" spans="1:6" ht="19.5" x14ac:dyDescent="0.55000000000000004">
      <c r="A8" s="16">
        <v>44274</v>
      </c>
      <c r="B8" s="17" t="s">
        <v>28</v>
      </c>
      <c r="C8" s="18" t="s">
        <v>20</v>
      </c>
      <c r="D8" s="17" t="s">
        <v>21</v>
      </c>
      <c r="E8" s="19">
        <v>98</v>
      </c>
      <c r="F8" s="18">
        <f t="shared" si="0"/>
        <v>2021</v>
      </c>
    </row>
    <row r="9" spans="1:6" ht="19.5" x14ac:dyDescent="0.55000000000000004">
      <c r="A9" s="20">
        <v>44275</v>
      </c>
      <c r="B9" s="21" t="s">
        <v>29</v>
      </c>
      <c r="C9" s="22" t="s">
        <v>20</v>
      </c>
      <c r="D9" s="21" t="s">
        <v>21</v>
      </c>
      <c r="E9" s="23">
        <v>104.62</v>
      </c>
      <c r="F9" s="22">
        <f t="shared" si="0"/>
        <v>2021</v>
      </c>
    </row>
    <row r="10" spans="1:6" ht="19.5" x14ac:dyDescent="0.55000000000000004">
      <c r="A10" s="16">
        <v>44276</v>
      </c>
      <c r="B10" s="17" t="s">
        <v>30</v>
      </c>
      <c r="C10" s="18" t="s">
        <v>20</v>
      </c>
      <c r="D10" s="17" t="s">
        <v>21</v>
      </c>
      <c r="E10" s="19">
        <v>99.34</v>
      </c>
      <c r="F10" s="18">
        <f t="shared" si="0"/>
        <v>2021</v>
      </c>
    </row>
    <row r="11" spans="1:6" ht="19.5" x14ac:dyDescent="0.55000000000000004">
      <c r="A11" s="20">
        <v>44300</v>
      </c>
      <c r="B11" s="21" t="s">
        <v>31</v>
      </c>
      <c r="C11" s="22" t="s">
        <v>20</v>
      </c>
      <c r="D11" s="21" t="s">
        <v>21</v>
      </c>
      <c r="E11" s="23">
        <v>2000</v>
      </c>
      <c r="F11" s="22">
        <f t="shared" si="0"/>
        <v>2021</v>
      </c>
    </row>
    <row r="12" spans="1:6" ht="19.5" x14ac:dyDescent="0.55000000000000004">
      <c r="A12" s="16">
        <v>44310</v>
      </c>
      <c r="B12" s="17" t="s">
        <v>32</v>
      </c>
      <c r="C12" s="18" t="s">
        <v>20</v>
      </c>
      <c r="D12" s="17" t="s">
        <v>21</v>
      </c>
      <c r="E12" s="19">
        <v>102.96</v>
      </c>
      <c r="F12" s="18">
        <f t="shared" si="0"/>
        <v>2021</v>
      </c>
    </row>
    <row r="13" spans="1:6" ht="19.5" x14ac:dyDescent="0.55000000000000004">
      <c r="A13" s="20">
        <v>44311</v>
      </c>
      <c r="B13" s="21" t="s">
        <v>33</v>
      </c>
      <c r="C13" s="22" t="s">
        <v>20</v>
      </c>
      <c r="D13" s="21" t="s">
        <v>21</v>
      </c>
      <c r="E13" s="23">
        <v>284.41000000000003</v>
      </c>
      <c r="F13" s="22">
        <f t="shared" si="0"/>
        <v>2021</v>
      </c>
    </row>
    <row r="14" spans="1:6" ht="19.5" x14ac:dyDescent="0.55000000000000004">
      <c r="A14" s="16">
        <v>44312</v>
      </c>
      <c r="B14" s="17" t="s">
        <v>34</v>
      </c>
      <c r="C14" s="18" t="s">
        <v>20</v>
      </c>
      <c r="D14" s="17" t="s">
        <v>21</v>
      </c>
      <c r="E14" s="19">
        <v>305.14999999999998</v>
      </c>
      <c r="F14" s="18">
        <f t="shared" si="0"/>
        <v>2021</v>
      </c>
    </row>
    <row r="15" spans="1:6" ht="19.5" x14ac:dyDescent="0.55000000000000004">
      <c r="A15" s="20">
        <v>44313</v>
      </c>
      <c r="B15" s="21" t="s">
        <v>35</v>
      </c>
      <c r="C15" s="22" t="s">
        <v>20</v>
      </c>
      <c r="D15" s="21" t="s">
        <v>21</v>
      </c>
      <c r="E15" s="23">
        <v>310.17</v>
      </c>
      <c r="F15" s="22">
        <f t="shared" si="0"/>
        <v>2021</v>
      </c>
    </row>
    <row r="16" spans="1:6" ht="19.5" x14ac:dyDescent="0.55000000000000004">
      <c r="A16" s="16">
        <v>44314</v>
      </c>
      <c r="B16" s="17" t="s">
        <v>36</v>
      </c>
      <c r="C16" s="18" t="s">
        <v>20</v>
      </c>
      <c r="D16" s="17" t="s">
        <v>21</v>
      </c>
      <c r="E16" s="19">
        <v>305.79000000000002</v>
      </c>
      <c r="F16" s="18">
        <f t="shared" si="0"/>
        <v>2021</v>
      </c>
    </row>
    <row r="17" spans="1:6" ht="19.5" x14ac:dyDescent="0.55000000000000004">
      <c r="A17" s="20">
        <v>44315</v>
      </c>
      <c r="B17" s="21" t="s">
        <v>37</v>
      </c>
      <c r="C17" s="22" t="s">
        <v>20</v>
      </c>
      <c r="D17" s="21" t="s">
        <v>21</v>
      </c>
      <c r="E17" s="23">
        <v>307.16000000000003</v>
      </c>
      <c r="F17" s="22">
        <f t="shared" si="0"/>
        <v>2021</v>
      </c>
    </row>
    <row r="18" spans="1:6" ht="19.5" x14ac:dyDescent="0.55000000000000004">
      <c r="A18" s="16">
        <v>44316</v>
      </c>
      <c r="B18" s="17" t="s">
        <v>38</v>
      </c>
      <c r="C18" s="18" t="s">
        <v>20</v>
      </c>
      <c r="D18" s="17" t="s">
        <v>21</v>
      </c>
      <c r="E18" s="19">
        <v>286.8</v>
      </c>
      <c r="F18" s="18">
        <f t="shared" si="0"/>
        <v>2021</v>
      </c>
    </row>
    <row r="19" spans="1:6" ht="19.5" x14ac:dyDescent="0.55000000000000004">
      <c r="A19" s="20">
        <v>44317</v>
      </c>
      <c r="B19" s="21" t="s">
        <v>39</v>
      </c>
      <c r="C19" s="22" t="s">
        <v>20</v>
      </c>
      <c r="D19" s="21" t="s">
        <v>21</v>
      </c>
      <c r="E19" s="23">
        <v>197.75</v>
      </c>
      <c r="F19" s="22">
        <f t="shared" si="0"/>
        <v>2021</v>
      </c>
    </row>
    <row r="20" spans="1:6" ht="19.5" x14ac:dyDescent="0.55000000000000004">
      <c r="A20" s="16">
        <v>44332</v>
      </c>
      <c r="B20" s="17" t="s">
        <v>40</v>
      </c>
      <c r="C20" s="18" t="s">
        <v>20</v>
      </c>
      <c r="D20" s="17" t="s">
        <v>21</v>
      </c>
      <c r="E20" s="19">
        <v>2000</v>
      </c>
      <c r="F20" s="18">
        <f t="shared" si="0"/>
        <v>2021</v>
      </c>
    </row>
    <row r="21" spans="1:6" ht="19.5" x14ac:dyDescent="0.55000000000000004">
      <c r="A21" s="20">
        <v>44340</v>
      </c>
      <c r="B21" s="21" t="s">
        <v>41</v>
      </c>
      <c r="C21" s="22" t="s">
        <v>20</v>
      </c>
      <c r="D21" s="21" t="s">
        <v>23</v>
      </c>
      <c r="E21" s="23">
        <v>500</v>
      </c>
      <c r="F21" s="22">
        <f t="shared" si="0"/>
        <v>2021</v>
      </c>
    </row>
    <row r="22" spans="1:6" ht="19.5" x14ac:dyDescent="0.55000000000000004">
      <c r="A22" s="16">
        <v>44341</v>
      </c>
      <c r="B22" s="17" t="s">
        <v>42</v>
      </c>
      <c r="C22" s="18" t="s">
        <v>20</v>
      </c>
      <c r="D22" s="17" t="s">
        <v>21</v>
      </c>
      <c r="E22" s="19">
        <v>233.33</v>
      </c>
      <c r="F22" s="18">
        <f t="shared" si="0"/>
        <v>2021</v>
      </c>
    </row>
    <row r="23" spans="1:6" ht="19.5" x14ac:dyDescent="0.55000000000000004">
      <c r="A23" s="20">
        <v>44342</v>
      </c>
      <c r="B23" s="21" t="s">
        <v>43</v>
      </c>
      <c r="C23" s="22" t="s">
        <v>20</v>
      </c>
      <c r="D23" s="21" t="s">
        <v>21</v>
      </c>
      <c r="E23" s="23">
        <v>282.49</v>
      </c>
      <c r="F23" s="22">
        <f t="shared" si="0"/>
        <v>2021</v>
      </c>
    </row>
    <row r="24" spans="1:6" ht="19.5" x14ac:dyDescent="0.55000000000000004">
      <c r="A24" s="16">
        <v>44343</v>
      </c>
      <c r="B24" s="17" t="s">
        <v>44</v>
      </c>
      <c r="C24" s="18" t="s">
        <v>20</v>
      </c>
      <c r="D24" s="17" t="s">
        <v>21</v>
      </c>
      <c r="E24" s="19">
        <v>282.62</v>
      </c>
      <c r="F24" s="18">
        <f t="shared" si="0"/>
        <v>2021</v>
      </c>
    </row>
    <row r="25" spans="1:6" ht="19.5" x14ac:dyDescent="0.55000000000000004">
      <c r="A25" s="20">
        <v>44344</v>
      </c>
      <c r="B25" s="21" t="s">
        <v>45</v>
      </c>
      <c r="C25" s="22" t="s">
        <v>20</v>
      </c>
      <c r="D25" s="21" t="s">
        <v>21</v>
      </c>
      <c r="E25" s="23">
        <v>302.77999999999997</v>
      </c>
      <c r="F25" s="22">
        <f t="shared" si="0"/>
        <v>2021</v>
      </c>
    </row>
    <row r="26" spans="1:6" ht="19.5" x14ac:dyDescent="0.55000000000000004">
      <c r="A26" s="16">
        <v>44345</v>
      </c>
      <c r="B26" s="17" t="s">
        <v>46</v>
      </c>
      <c r="C26" s="18" t="s">
        <v>20</v>
      </c>
      <c r="D26" s="17" t="s">
        <v>21</v>
      </c>
      <c r="E26" s="19">
        <v>313.17</v>
      </c>
      <c r="F26" s="18">
        <f t="shared" si="0"/>
        <v>2021</v>
      </c>
    </row>
    <row r="27" spans="1:6" ht="19.5" x14ac:dyDescent="0.55000000000000004">
      <c r="A27" s="20">
        <v>44346</v>
      </c>
      <c r="B27" s="21" t="s">
        <v>47</v>
      </c>
      <c r="C27" s="22" t="s">
        <v>20</v>
      </c>
      <c r="D27" s="21" t="s">
        <v>21</v>
      </c>
      <c r="E27" s="23">
        <v>296.97000000000003</v>
      </c>
      <c r="F27" s="22">
        <f t="shared" si="0"/>
        <v>2021</v>
      </c>
    </row>
    <row r="28" spans="1:6" ht="19.5" x14ac:dyDescent="0.55000000000000004">
      <c r="A28" s="16">
        <v>44347</v>
      </c>
      <c r="B28" s="17" t="s">
        <v>48</v>
      </c>
      <c r="C28" s="18" t="s">
        <v>20</v>
      </c>
      <c r="D28" s="17" t="s">
        <v>21</v>
      </c>
      <c r="E28" s="19">
        <v>301.14</v>
      </c>
      <c r="F28" s="18">
        <f t="shared" si="0"/>
        <v>2021</v>
      </c>
    </row>
    <row r="29" spans="1:6" ht="19.5" x14ac:dyDescent="0.55000000000000004">
      <c r="A29" s="20">
        <v>44348</v>
      </c>
      <c r="B29" s="21" t="s">
        <v>49</v>
      </c>
      <c r="C29" s="22" t="s">
        <v>20</v>
      </c>
      <c r="D29" s="21" t="s">
        <v>21</v>
      </c>
      <c r="E29" s="23">
        <v>303.98</v>
      </c>
      <c r="F29" s="22">
        <f t="shared" si="0"/>
        <v>2021</v>
      </c>
    </row>
    <row r="30" spans="1:6" ht="19.5" x14ac:dyDescent="0.55000000000000004">
      <c r="A30" s="16">
        <v>44349</v>
      </c>
      <c r="B30" s="17" t="s">
        <v>50</v>
      </c>
      <c r="C30" s="18" t="s">
        <v>20</v>
      </c>
      <c r="D30" s="17" t="s">
        <v>21</v>
      </c>
      <c r="E30" s="19">
        <v>183.52</v>
      </c>
      <c r="F30" s="18">
        <f t="shared" si="0"/>
        <v>2021</v>
      </c>
    </row>
    <row r="31" spans="1:6" ht="19.5" x14ac:dyDescent="0.55000000000000004">
      <c r="A31" s="20">
        <v>44365</v>
      </c>
      <c r="B31" s="21" t="s">
        <v>51</v>
      </c>
      <c r="C31" s="22" t="s">
        <v>20</v>
      </c>
      <c r="D31" s="21" t="s">
        <v>21</v>
      </c>
      <c r="E31" s="23">
        <v>2000</v>
      </c>
      <c r="F31" s="22">
        <f t="shared" si="0"/>
        <v>2021</v>
      </c>
    </row>
    <row r="32" spans="1:6" ht="19.5" x14ac:dyDescent="0.55000000000000004">
      <c r="A32" s="16">
        <v>44367</v>
      </c>
      <c r="B32" s="17" t="s">
        <v>52</v>
      </c>
      <c r="C32" s="18" t="s">
        <v>20</v>
      </c>
      <c r="D32" s="17" t="s">
        <v>21</v>
      </c>
      <c r="E32" s="19">
        <v>127.01</v>
      </c>
      <c r="F32" s="18">
        <f t="shared" si="0"/>
        <v>2021</v>
      </c>
    </row>
    <row r="33" spans="1:6" ht="19.5" x14ac:dyDescent="0.55000000000000004">
      <c r="A33" s="20">
        <v>44368</v>
      </c>
      <c r="B33" s="21" t="s">
        <v>53</v>
      </c>
      <c r="C33" s="22" t="s">
        <v>20</v>
      </c>
      <c r="D33" s="21" t="s">
        <v>21</v>
      </c>
      <c r="E33" s="23">
        <v>463.39</v>
      </c>
      <c r="F33" s="22">
        <f t="shared" si="0"/>
        <v>2021</v>
      </c>
    </row>
    <row r="34" spans="1:6" ht="19.5" x14ac:dyDescent="0.55000000000000004">
      <c r="A34" s="16">
        <v>44369</v>
      </c>
      <c r="B34" s="17" t="s">
        <v>54</v>
      </c>
      <c r="C34" s="18" t="s">
        <v>20</v>
      </c>
      <c r="D34" s="17" t="s">
        <v>21</v>
      </c>
      <c r="E34" s="19">
        <v>460.07</v>
      </c>
      <c r="F34" s="18">
        <f t="shared" si="0"/>
        <v>2021</v>
      </c>
    </row>
    <row r="35" spans="1:6" ht="19.5" x14ac:dyDescent="0.55000000000000004">
      <c r="A35" s="20">
        <v>44370</v>
      </c>
      <c r="B35" s="21" t="s">
        <v>55</v>
      </c>
      <c r="C35" s="22" t="s">
        <v>20</v>
      </c>
      <c r="D35" s="21" t="s">
        <v>21</v>
      </c>
      <c r="E35" s="23">
        <v>248.68</v>
      </c>
      <c r="F35" s="22">
        <f t="shared" si="0"/>
        <v>2021</v>
      </c>
    </row>
    <row r="36" spans="1:6" ht="19.5" x14ac:dyDescent="0.55000000000000004">
      <c r="A36" s="16">
        <v>44371</v>
      </c>
      <c r="B36" s="17" t="s">
        <v>56</v>
      </c>
      <c r="C36" s="18" t="s">
        <v>20</v>
      </c>
      <c r="D36" s="17" t="s">
        <v>21</v>
      </c>
      <c r="E36" s="19">
        <v>537.13</v>
      </c>
      <c r="F36" s="18">
        <f t="shared" si="0"/>
        <v>2021</v>
      </c>
    </row>
    <row r="37" spans="1:6" ht="19.5" x14ac:dyDescent="0.55000000000000004">
      <c r="A37" s="20">
        <v>44372</v>
      </c>
      <c r="B37" s="21" t="s">
        <v>57</v>
      </c>
      <c r="C37" s="22" t="s">
        <v>20</v>
      </c>
      <c r="D37" s="21" t="s">
        <v>21</v>
      </c>
      <c r="E37" s="23">
        <v>163.72</v>
      </c>
      <c r="F37" s="22">
        <f t="shared" si="0"/>
        <v>2021</v>
      </c>
    </row>
    <row r="38" spans="1:6" ht="19.5" x14ac:dyDescent="0.55000000000000004">
      <c r="A38" s="16">
        <v>44672</v>
      </c>
      <c r="B38" s="17" t="s">
        <v>58</v>
      </c>
      <c r="C38" s="18" t="s">
        <v>20</v>
      </c>
      <c r="D38" s="17" t="s">
        <v>59</v>
      </c>
      <c r="E38" s="19">
        <v>2000</v>
      </c>
      <c r="F38" s="18">
        <f t="shared" si="0"/>
        <v>2022</v>
      </c>
    </row>
    <row r="39" spans="1:6" ht="19.5" x14ac:dyDescent="0.55000000000000004">
      <c r="A39" s="20">
        <v>44674</v>
      </c>
      <c r="B39" s="21" t="s">
        <v>60</v>
      </c>
      <c r="C39" s="22" t="s">
        <v>20</v>
      </c>
      <c r="D39" s="21" t="s">
        <v>21</v>
      </c>
      <c r="E39" s="23">
        <v>335.27</v>
      </c>
      <c r="F39" s="22">
        <f t="shared" si="0"/>
        <v>2022</v>
      </c>
    </row>
    <row r="40" spans="1:6" ht="19.5" x14ac:dyDescent="0.55000000000000004">
      <c r="A40" s="16">
        <v>44675</v>
      </c>
      <c r="B40" s="17" t="s">
        <v>61</v>
      </c>
      <c r="C40" s="18" t="s">
        <v>20</v>
      </c>
      <c r="D40" s="17" t="s">
        <v>21</v>
      </c>
      <c r="E40" s="19">
        <v>317.8</v>
      </c>
      <c r="F40" s="18">
        <f t="shared" si="0"/>
        <v>2022</v>
      </c>
    </row>
    <row r="41" spans="1:6" ht="19.5" x14ac:dyDescent="0.55000000000000004">
      <c r="A41" s="20">
        <v>44676</v>
      </c>
      <c r="B41" s="21" t="s">
        <v>62</v>
      </c>
      <c r="C41" s="22" t="s">
        <v>20</v>
      </c>
      <c r="D41" s="21" t="s">
        <v>21</v>
      </c>
      <c r="E41" s="23">
        <v>308.35000000000002</v>
      </c>
      <c r="F41" s="22">
        <f t="shared" si="0"/>
        <v>2022</v>
      </c>
    </row>
    <row r="42" spans="1:6" ht="19.5" x14ac:dyDescent="0.55000000000000004">
      <c r="A42" s="16">
        <v>44677</v>
      </c>
      <c r="B42" s="17" t="s">
        <v>63</v>
      </c>
      <c r="C42" s="18" t="s">
        <v>20</v>
      </c>
      <c r="D42" s="17" t="s">
        <v>21</v>
      </c>
      <c r="E42" s="19">
        <v>295.23</v>
      </c>
      <c r="F42" s="18">
        <f t="shared" si="0"/>
        <v>2022</v>
      </c>
    </row>
    <row r="43" spans="1:6" ht="19.5" x14ac:dyDescent="0.55000000000000004">
      <c r="A43" s="20">
        <v>44678</v>
      </c>
      <c r="B43" s="21" t="s">
        <v>64</v>
      </c>
      <c r="C43" s="22" t="s">
        <v>20</v>
      </c>
      <c r="D43" s="21" t="s">
        <v>21</v>
      </c>
      <c r="E43" s="23">
        <v>282.08</v>
      </c>
      <c r="F43" s="22">
        <f t="shared" si="0"/>
        <v>2022</v>
      </c>
    </row>
    <row r="44" spans="1:6" ht="19.5" x14ac:dyDescent="0.55000000000000004">
      <c r="A44" s="16">
        <v>44679</v>
      </c>
      <c r="B44" s="17" t="s">
        <v>65</v>
      </c>
      <c r="C44" s="18" t="s">
        <v>20</v>
      </c>
      <c r="D44" s="17" t="s">
        <v>21</v>
      </c>
      <c r="E44" s="19">
        <v>284.73</v>
      </c>
      <c r="F44" s="18">
        <f t="shared" si="0"/>
        <v>2022</v>
      </c>
    </row>
    <row r="45" spans="1:6" ht="19.5" x14ac:dyDescent="0.55000000000000004">
      <c r="A45" s="20">
        <v>44680</v>
      </c>
      <c r="B45" s="21" t="s">
        <v>66</v>
      </c>
      <c r="C45" s="22" t="s">
        <v>20</v>
      </c>
      <c r="D45" s="21" t="s">
        <v>21</v>
      </c>
      <c r="E45" s="23">
        <v>176.54</v>
      </c>
      <c r="F45" s="22">
        <f t="shared" si="0"/>
        <v>2022</v>
      </c>
    </row>
    <row r="46" spans="1:6" ht="19.5" x14ac:dyDescent="0.55000000000000004">
      <c r="A46" s="16">
        <v>44692</v>
      </c>
      <c r="B46" s="17" t="s">
        <v>67</v>
      </c>
      <c r="C46" s="18" t="s">
        <v>20</v>
      </c>
      <c r="D46" s="17" t="s">
        <v>59</v>
      </c>
      <c r="E46" s="19">
        <v>1000</v>
      </c>
      <c r="F46" s="18">
        <f t="shared" si="0"/>
        <v>2022</v>
      </c>
    </row>
    <row r="47" spans="1:6" ht="19.5" x14ac:dyDescent="0.55000000000000004">
      <c r="A47" s="20">
        <v>44694</v>
      </c>
      <c r="B47" s="21" t="s">
        <v>68</v>
      </c>
      <c r="C47" s="22" t="s">
        <v>20</v>
      </c>
      <c r="D47" s="21" t="s">
        <v>21</v>
      </c>
      <c r="E47" s="23">
        <v>317.97000000000003</v>
      </c>
      <c r="F47" s="22">
        <f t="shared" si="0"/>
        <v>2022</v>
      </c>
    </row>
    <row r="48" spans="1:6" ht="19.5" x14ac:dyDescent="0.55000000000000004">
      <c r="A48" s="16">
        <v>44695</v>
      </c>
      <c r="B48" s="17" t="s">
        <v>69</v>
      </c>
      <c r="C48" s="18" t="s">
        <v>20</v>
      </c>
      <c r="D48" s="17" t="s">
        <v>21</v>
      </c>
      <c r="E48" s="19">
        <v>321.16000000000003</v>
      </c>
      <c r="F48" s="18">
        <f t="shared" si="0"/>
        <v>2022</v>
      </c>
    </row>
    <row r="49" spans="1:6" ht="19.5" x14ac:dyDescent="0.55000000000000004">
      <c r="A49" s="20">
        <v>44696</v>
      </c>
      <c r="B49" s="21" t="s">
        <v>70</v>
      </c>
      <c r="C49" s="22" t="s">
        <v>20</v>
      </c>
      <c r="D49" s="21" t="s">
        <v>21</v>
      </c>
      <c r="E49" s="23">
        <v>335.67</v>
      </c>
      <c r="F49" s="22">
        <f t="shared" si="0"/>
        <v>2022</v>
      </c>
    </row>
    <row r="50" spans="1:6" ht="19.5" x14ac:dyDescent="0.55000000000000004">
      <c r="A50" s="16">
        <v>44697</v>
      </c>
      <c r="B50" s="17" t="s">
        <v>71</v>
      </c>
      <c r="C50" s="18" t="s">
        <v>20</v>
      </c>
      <c r="D50" s="17" t="s">
        <v>21</v>
      </c>
      <c r="E50" s="19">
        <v>25.2</v>
      </c>
      <c r="F50" s="18">
        <f t="shared" si="0"/>
        <v>2022</v>
      </c>
    </row>
    <row r="51" spans="1:6" ht="19.5" x14ac:dyDescent="0.55000000000000004">
      <c r="A51" s="20">
        <v>44703</v>
      </c>
      <c r="B51" s="21" t="s">
        <v>72</v>
      </c>
      <c r="C51" s="22" t="s">
        <v>20</v>
      </c>
      <c r="D51" s="21" t="s">
        <v>21</v>
      </c>
      <c r="E51" s="23">
        <v>1000</v>
      </c>
      <c r="F51" s="22">
        <f t="shared" si="0"/>
        <v>2022</v>
      </c>
    </row>
    <row r="52" spans="1:6" ht="19.5" x14ac:dyDescent="0.55000000000000004">
      <c r="A52" s="16">
        <v>44704</v>
      </c>
      <c r="B52" s="17" t="s">
        <v>73</v>
      </c>
      <c r="C52" s="18" t="s">
        <v>20</v>
      </c>
      <c r="D52" s="17" t="s">
        <v>21</v>
      </c>
      <c r="E52" s="19">
        <v>35.39</v>
      </c>
      <c r="F52" s="18">
        <f t="shared" si="0"/>
        <v>2022</v>
      </c>
    </row>
    <row r="53" spans="1:6" ht="19.5" x14ac:dyDescent="0.55000000000000004">
      <c r="A53" s="20">
        <v>44705</v>
      </c>
      <c r="B53" s="21" t="s">
        <v>74</v>
      </c>
      <c r="C53" s="22" t="s">
        <v>20</v>
      </c>
      <c r="D53" s="21" t="s">
        <v>21</v>
      </c>
      <c r="E53" s="23">
        <v>170.27</v>
      </c>
      <c r="F53" s="22">
        <f t="shared" si="0"/>
        <v>2022</v>
      </c>
    </row>
    <row r="54" spans="1:6" ht="19.5" x14ac:dyDescent="0.55000000000000004">
      <c r="A54" s="16">
        <v>44706</v>
      </c>
      <c r="B54" s="17" t="s">
        <v>75</v>
      </c>
      <c r="C54" s="18" t="s">
        <v>20</v>
      </c>
      <c r="D54" s="17" t="s">
        <v>21</v>
      </c>
      <c r="E54" s="19">
        <v>160.63999999999999</v>
      </c>
      <c r="F54" s="18">
        <f t="shared" si="0"/>
        <v>2022</v>
      </c>
    </row>
    <row r="55" spans="1:6" ht="19.5" x14ac:dyDescent="0.55000000000000004">
      <c r="A55" s="20">
        <v>44707</v>
      </c>
      <c r="B55" s="21" t="s">
        <v>76</v>
      </c>
      <c r="C55" s="22" t="s">
        <v>20</v>
      </c>
      <c r="D55" s="21" t="s">
        <v>21</v>
      </c>
      <c r="E55" s="23">
        <v>154.72</v>
      </c>
      <c r="F55" s="22">
        <f t="shared" si="0"/>
        <v>2022</v>
      </c>
    </row>
    <row r="56" spans="1:6" ht="19.5" x14ac:dyDescent="0.55000000000000004">
      <c r="A56" s="16">
        <v>44708</v>
      </c>
      <c r="B56" s="17" t="s">
        <v>77</v>
      </c>
      <c r="C56" s="18" t="s">
        <v>20</v>
      </c>
      <c r="D56" s="17" t="s">
        <v>21</v>
      </c>
      <c r="E56" s="19">
        <v>141.11000000000001</v>
      </c>
      <c r="F56" s="18">
        <f t="shared" si="0"/>
        <v>2022</v>
      </c>
    </row>
    <row r="57" spans="1:6" ht="19.5" x14ac:dyDescent="0.55000000000000004">
      <c r="A57" s="20">
        <v>44709</v>
      </c>
      <c r="B57" s="21" t="s">
        <v>78</v>
      </c>
      <c r="C57" s="22" t="s">
        <v>20</v>
      </c>
      <c r="D57" s="21" t="s">
        <v>21</v>
      </c>
      <c r="E57" s="23">
        <v>144.16</v>
      </c>
      <c r="F57" s="22">
        <f t="shared" si="0"/>
        <v>2022</v>
      </c>
    </row>
    <row r="58" spans="1:6" ht="19.5" x14ac:dyDescent="0.55000000000000004">
      <c r="A58" s="16">
        <v>44710</v>
      </c>
      <c r="B58" s="17" t="s">
        <v>79</v>
      </c>
      <c r="C58" s="18" t="s">
        <v>20</v>
      </c>
      <c r="D58" s="17" t="s">
        <v>21</v>
      </c>
      <c r="E58" s="19">
        <v>144.88</v>
      </c>
      <c r="F58" s="18">
        <f t="shared" si="0"/>
        <v>2022</v>
      </c>
    </row>
    <row r="59" spans="1:6" ht="19.5" x14ac:dyDescent="0.55000000000000004">
      <c r="A59" s="20">
        <v>44711</v>
      </c>
      <c r="B59" s="21" t="s">
        <v>80</v>
      </c>
      <c r="C59" s="22" t="s">
        <v>20</v>
      </c>
      <c r="D59" s="21" t="s">
        <v>21</v>
      </c>
      <c r="E59" s="23">
        <v>48.27</v>
      </c>
      <c r="F59" s="22">
        <f t="shared" si="0"/>
        <v>2022</v>
      </c>
    </row>
    <row r="60" spans="1:6" ht="19.5" x14ac:dyDescent="0.55000000000000004">
      <c r="A60" s="16">
        <v>44723</v>
      </c>
      <c r="B60" s="17" t="s">
        <v>81</v>
      </c>
      <c r="C60" s="18" t="s">
        <v>20</v>
      </c>
      <c r="D60" s="17" t="s">
        <v>21</v>
      </c>
      <c r="E60" s="19">
        <v>1000</v>
      </c>
      <c r="F60" s="18">
        <f t="shared" si="0"/>
        <v>2022</v>
      </c>
    </row>
    <row r="61" spans="1:6" ht="19.5" x14ac:dyDescent="0.55000000000000004">
      <c r="A61" s="20">
        <v>44724</v>
      </c>
      <c r="B61" s="21" t="s">
        <v>82</v>
      </c>
      <c r="C61" s="22" t="s">
        <v>20</v>
      </c>
      <c r="D61" s="21" t="s">
        <v>21</v>
      </c>
      <c r="E61" s="23">
        <v>60.62</v>
      </c>
      <c r="F61" s="22">
        <f t="shared" si="0"/>
        <v>2022</v>
      </c>
    </row>
    <row r="62" spans="1:6" ht="19.5" x14ac:dyDescent="0.55000000000000004">
      <c r="A62" s="16">
        <v>44725</v>
      </c>
      <c r="B62" s="17" t="s">
        <v>83</v>
      </c>
      <c r="C62" s="18" t="s">
        <v>20</v>
      </c>
      <c r="D62" s="17" t="s">
        <v>21</v>
      </c>
      <c r="E62" s="19">
        <v>138.87</v>
      </c>
      <c r="F62" s="18">
        <f t="shared" si="0"/>
        <v>2022</v>
      </c>
    </row>
    <row r="63" spans="1:6" ht="19.5" x14ac:dyDescent="0.55000000000000004">
      <c r="A63" s="20">
        <v>44726</v>
      </c>
      <c r="B63" s="21" t="s">
        <v>84</v>
      </c>
      <c r="C63" s="22" t="s">
        <v>20</v>
      </c>
      <c r="D63" s="21" t="s">
        <v>21</v>
      </c>
      <c r="E63" s="23">
        <v>148.77000000000001</v>
      </c>
      <c r="F63" s="22">
        <f t="shared" si="0"/>
        <v>2022</v>
      </c>
    </row>
    <row r="64" spans="1:6" ht="19.5" x14ac:dyDescent="0.55000000000000004">
      <c r="A64" s="16">
        <v>44727</v>
      </c>
      <c r="B64" s="17" t="s">
        <v>85</v>
      </c>
      <c r="C64" s="18" t="s">
        <v>20</v>
      </c>
      <c r="D64" s="17" t="s">
        <v>21</v>
      </c>
      <c r="E64" s="19">
        <v>128.88</v>
      </c>
      <c r="F64" s="18">
        <f t="shared" si="0"/>
        <v>2022</v>
      </c>
    </row>
    <row r="65" spans="1:6" ht="19.5" x14ac:dyDescent="0.55000000000000004">
      <c r="A65" s="20">
        <v>44728</v>
      </c>
      <c r="B65" s="21" t="s">
        <v>86</v>
      </c>
      <c r="C65" s="22" t="s">
        <v>20</v>
      </c>
      <c r="D65" s="21" t="s">
        <v>21</v>
      </c>
      <c r="E65" s="23">
        <v>158.22999999999999</v>
      </c>
      <c r="F65" s="22">
        <f t="shared" si="0"/>
        <v>2022</v>
      </c>
    </row>
    <row r="66" spans="1:6" ht="19.5" x14ac:dyDescent="0.55000000000000004">
      <c r="A66" s="16">
        <v>44729</v>
      </c>
      <c r="B66" s="17" t="s">
        <v>87</v>
      </c>
      <c r="C66" s="18" t="s">
        <v>20</v>
      </c>
      <c r="D66" s="17" t="s">
        <v>21</v>
      </c>
      <c r="E66" s="19">
        <v>145.82</v>
      </c>
      <c r="F66" s="18">
        <f t="shared" ref="F66:F129" si="1">YEAR(A66)</f>
        <v>2022</v>
      </c>
    </row>
    <row r="67" spans="1:6" ht="19.5" x14ac:dyDescent="0.55000000000000004">
      <c r="A67" s="20">
        <v>44730</v>
      </c>
      <c r="B67" s="21" t="s">
        <v>88</v>
      </c>
      <c r="C67" s="22" t="s">
        <v>20</v>
      </c>
      <c r="D67" s="21" t="s">
        <v>21</v>
      </c>
      <c r="E67" s="23">
        <v>177.29</v>
      </c>
      <c r="F67" s="22">
        <f t="shared" si="1"/>
        <v>2022</v>
      </c>
    </row>
    <row r="68" spans="1:6" ht="19.5" x14ac:dyDescent="0.55000000000000004">
      <c r="A68" s="16">
        <v>44731</v>
      </c>
      <c r="B68" s="17" t="s">
        <v>89</v>
      </c>
      <c r="C68" s="18" t="s">
        <v>20</v>
      </c>
      <c r="D68" s="17" t="s">
        <v>21</v>
      </c>
      <c r="E68" s="19">
        <v>40.79</v>
      </c>
      <c r="F68" s="18">
        <f t="shared" si="1"/>
        <v>2022</v>
      </c>
    </row>
    <row r="69" spans="1:6" ht="19.5" x14ac:dyDescent="0.55000000000000004">
      <c r="A69" s="20">
        <v>44732</v>
      </c>
      <c r="B69" s="21" t="s">
        <v>90</v>
      </c>
      <c r="C69" s="22" t="s">
        <v>20</v>
      </c>
      <c r="D69" s="21" t="s">
        <v>21</v>
      </c>
      <c r="E69" s="23">
        <v>1000</v>
      </c>
      <c r="F69" s="22">
        <f t="shared" si="1"/>
        <v>2022</v>
      </c>
    </row>
    <row r="70" spans="1:6" ht="19.5" x14ac:dyDescent="0.55000000000000004">
      <c r="A70" s="16">
        <v>44733</v>
      </c>
      <c r="B70" s="17" t="s">
        <v>91</v>
      </c>
      <c r="C70" s="18" t="s">
        <v>20</v>
      </c>
      <c r="D70" s="17" t="s">
        <v>21</v>
      </c>
      <c r="E70" s="19">
        <v>36.22</v>
      </c>
      <c r="F70" s="18">
        <f t="shared" si="1"/>
        <v>2022</v>
      </c>
    </row>
    <row r="71" spans="1:6" ht="19.5" x14ac:dyDescent="0.55000000000000004">
      <c r="A71" s="20">
        <v>44734</v>
      </c>
      <c r="B71" s="21" t="s">
        <v>92</v>
      </c>
      <c r="C71" s="22" t="s">
        <v>20</v>
      </c>
      <c r="D71" s="21" t="s">
        <v>21</v>
      </c>
      <c r="E71" s="23">
        <v>157.9</v>
      </c>
      <c r="F71" s="22">
        <f t="shared" si="1"/>
        <v>2022</v>
      </c>
    </row>
    <row r="72" spans="1:6" ht="19.5" x14ac:dyDescent="0.55000000000000004">
      <c r="A72" s="16">
        <v>44735</v>
      </c>
      <c r="B72" s="17" t="s">
        <v>93</v>
      </c>
      <c r="C72" s="18" t="s">
        <v>20</v>
      </c>
      <c r="D72" s="17" t="s">
        <v>21</v>
      </c>
      <c r="E72" s="19">
        <v>155.91</v>
      </c>
      <c r="F72" s="18">
        <f t="shared" si="1"/>
        <v>2022</v>
      </c>
    </row>
    <row r="73" spans="1:6" ht="19.5" x14ac:dyDescent="0.55000000000000004">
      <c r="A73" s="20">
        <v>44736</v>
      </c>
      <c r="B73" s="21" t="s">
        <v>94</v>
      </c>
      <c r="C73" s="22" t="s">
        <v>20</v>
      </c>
      <c r="D73" s="21" t="s">
        <v>21</v>
      </c>
      <c r="E73" s="23">
        <v>144.82</v>
      </c>
      <c r="F73" s="22">
        <f t="shared" si="1"/>
        <v>2022</v>
      </c>
    </row>
    <row r="74" spans="1:6" ht="19.5" x14ac:dyDescent="0.55000000000000004">
      <c r="A74" s="16">
        <v>44737</v>
      </c>
      <c r="B74" s="17" t="s">
        <v>95</v>
      </c>
      <c r="C74" s="18" t="s">
        <v>20</v>
      </c>
      <c r="D74" s="17" t="s">
        <v>21</v>
      </c>
      <c r="E74" s="19">
        <v>201.2</v>
      </c>
      <c r="F74" s="18">
        <f t="shared" si="1"/>
        <v>2022</v>
      </c>
    </row>
    <row r="75" spans="1:6" ht="19.5" x14ac:dyDescent="0.55000000000000004">
      <c r="A75" s="20">
        <v>44738</v>
      </c>
      <c r="B75" s="21" t="s">
        <v>96</v>
      </c>
      <c r="C75" s="22" t="s">
        <v>20</v>
      </c>
      <c r="D75" s="21" t="s">
        <v>21</v>
      </c>
      <c r="E75" s="23">
        <v>119.66</v>
      </c>
      <c r="F75" s="22">
        <f t="shared" si="1"/>
        <v>2022</v>
      </c>
    </row>
    <row r="76" spans="1:6" ht="19.5" x14ac:dyDescent="0.55000000000000004">
      <c r="A76" s="16">
        <v>44739</v>
      </c>
      <c r="B76" s="17" t="s">
        <v>97</v>
      </c>
      <c r="C76" s="18" t="s">
        <v>20</v>
      </c>
      <c r="D76" s="17" t="s">
        <v>21</v>
      </c>
      <c r="E76" s="19">
        <v>132.44999999999999</v>
      </c>
      <c r="F76" s="18">
        <f t="shared" si="1"/>
        <v>2022</v>
      </c>
    </row>
    <row r="77" spans="1:6" ht="19.5" x14ac:dyDescent="0.55000000000000004">
      <c r="A77" s="20">
        <v>44740</v>
      </c>
      <c r="B77" s="21" t="s">
        <v>98</v>
      </c>
      <c r="C77" s="22" t="s">
        <v>20</v>
      </c>
      <c r="D77" s="21" t="s">
        <v>21</v>
      </c>
      <c r="E77" s="23">
        <v>51.84</v>
      </c>
      <c r="F77" s="22">
        <f t="shared" si="1"/>
        <v>2022</v>
      </c>
    </row>
    <row r="78" spans="1:6" ht="19.5" x14ac:dyDescent="0.55000000000000004">
      <c r="A78" s="16">
        <v>44744</v>
      </c>
      <c r="B78" s="17" t="s">
        <v>99</v>
      </c>
      <c r="C78" s="18" t="s">
        <v>20</v>
      </c>
      <c r="D78" s="17" t="s">
        <v>21</v>
      </c>
      <c r="E78" s="19">
        <v>1000</v>
      </c>
      <c r="F78" s="18">
        <f t="shared" si="1"/>
        <v>2022</v>
      </c>
    </row>
    <row r="79" spans="1:6" ht="19.5" x14ac:dyDescent="0.55000000000000004">
      <c r="A79" s="20">
        <v>44745</v>
      </c>
      <c r="B79" s="21" t="s">
        <v>100</v>
      </c>
      <c r="C79" s="22" t="s">
        <v>20</v>
      </c>
      <c r="D79" s="21" t="s">
        <v>21</v>
      </c>
      <c r="E79" s="23">
        <v>50.74</v>
      </c>
      <c r="F79" s="22">
        <f t="shared" si="1"/>
        <v>2022</v>
      </c>
    </row>
    <row r="80" spans="1:6" ht="19.5" x14ac:dyDescent="0.55000000000000004">
      <c r="A80" s="16">
        <v>44746</v>
      </c>
      <c r="B80" s="17" t="s">
        <v>101</v>
      </c>
      <c r="C80" s="18" t="s">
        <v>20</v>
      </c>
      <c r="D80" s="17" t="s">
        <v>21</v>
      </c>
      <c r="E80" s="19">
        <v>145.13</v>
      </c>
      <c r="F80" s="18">
        <f t="shared" si="1"/>
        <v>2022</v>
      </c>
    </row>
    <row r="81" spans="1:6" ht="19.5" x14ac:dyDescent="0.55000000000000004">
      <c r="A81" s="20">
        <v>44747</v>
      </c>
      <c r="B81" s="21" t="s">
        <v>102</v>
      </c>
      <c r="C81" s="22" t="s">
        <v>20</v>
      </c>
      <c r="D81" s="21" t="s">
        <v>21</v>
      </c>
      <c r="E81" s="23">
        <v>143.46</v>
      </c>
      <c r="F81" s="22">
        <f t="shared" si="1"/>
        <v>2022</v>
      </c>
    </row>
    <row r="82" spans="1:6" ht="19.5" x14ac:dyDescent="0.55000000000000004">
      <c r="A82" s="16">
        <v>44748</v>
      </c>
      <c r="B82" s="17" t="s">
        <v>103</v>
      </c>
      <c r="C82" s="18" t="s">
        <v>20</v>
      </c>
      <c r="D82" s="17" t="s">
        <v>21</v>
      </c>
      <c r="E82" s="19">
        <v>157.08000000000001</v>
      </c>
      <c r="F82" s="18">
        <f t="shared" si="1"/>
        <v>2022</v>
      </c>
    </row>
    <row r="83" spans="1:6" ht="19.5" x14ac:dyDescent="0.55000000000000004">
      <c r="A83" s="20">
        <v>44749</v>
      </c>
      <c r="B83" s="21" t="s">
        <v>104</v>
      </c>
      <c r="C83" s="22" t="s">
        <v>20</v>
      </c>
      <c r="D83" s="21" t="s">
        <v>21</v>
      </c>
      <c r="E83" s="23">
        <v>144.33000000000001</v>
      </c>
      <c r="F83" s="22">
        <f t="shared" si="1"/>
        <v>2022</v>
      </c>
    </row>
    <row r="84" spans="1:6" ht="19.5" x14ac:dyDescent="0.55000000000000004">
      <c r="A84" s="16">
        <v>44750</v>
      </c>
      <c r="B84" s="17" t="s">
        <v>105</v>
      </c>
      <c r="C84" s="18" t="s">
        <v>20</v>
      </c>
      <c r="D84" s="17" t="s">
        <v>21</v>
      </c>
      <c r="E84" s="19">
        <v>143.68</v>
      </c>
      <c r="F84" s="18">
        <f t="shared" si="1"/>
        <v>2022</v>
      </c>
    </row>
    <row r="85" spans="1:6" ht="19.5" x14ac:dyDescent="0.55000000000000004">
      <c r="A85" s="20">
        <v>44751</v>
      </c>
      <c r="B85" s="21" t="s">
        <v>106</v>
      </c>
      <c r="C85" s="22" t="s">
        <v>20</v>
      </c>
      <c r="D85" s="21" t="s">
        <v>21</v>
      </c>
      <c r="E85" s="23">
        <v>165.26</v>
      </c>
      <c r="F85" s="22">
        <f t="shared" si="1"/>
        <v>2022</v>
      </c>
    </row>
    <row r="86" spans="1:6" ht="19.5" x14ac:dyDescent="0.55000000000000004">
      <c r="A86" s="16">
        <v>44752</v>
      </c>
      <c r="B86" s="17" t="s">
        <v>107</v>
      </c>
      <c r="C86" s="18" t="s">
        <v>20</v>
      </c>
      <c r="D86" s="17" t="s">
        <v>21</v>
      </c>
      <c r="E86" s="19">
        <v>47</v>
      </c>
      <c r="F86" s="18">
        <f t="shared" si="1"/>
        <v>2022</v>
      </c>
    </row>
    <row r="87" spans="1:6" ht="19.5" x14ac:dyDescent="0.55000000000000004">
      <c r="A87" s="20">
        <v>44754</v>
      </c>
      <c r="B87" s="21" t="s">
        <v>108</v>
      </c>
      <c r="C87" s="22" t="s">
        <v>20</v>
      </c>
      <c r="D87" s="21" t="s">
        <v>21</v>
      </c>
      <c r="E87" s="23">
        <v>1000</v>
      </c>
      <c r="F87" s="22">
        <f t="shared" si="1"/>
        <v>2022</v>
      </c>
    </row>
    <row r="88" spans="1:6" ht="19.5" x14ac:dyDescent="0.55000000000000004">
      <c r="A88" s="16">
        <v>44755</v>
      </c>
      <c r="B88" s="17" t="s">
        <v>109</v>
      </c>
      <c r="C88" s="18" t="s">
        <v>20</v>
      </c>
      <c r="D88" s="17" t="s">
        <v>21</v>
      </c>
      <c r="E88" s="19">
        <v>42.64</v>
      </c>
      <c r="F88" s="18">
        <f t="shared" si="1"/>
        <v>2022</v>
      </c>
    </row>
    <row r="89" spans="1:6" ht="19.5" x14ac:dyDescent="0.55000000000000004">
      <c r="A89" s="20">
        <v>44756</v>
      </c>
      <c r="B89" s="21" t="s">
        <v>110</v>
      </c>
      <c r="C89" s="22" t="s">
        <v>20</v>
      </c>
      <c r="D89" s="21" t="s">
        <v>21</v>
      </c>
      <c r="E89" s="23">
        <v>139.66999999999999</v>
      </c>
      <c r="F89" s="22">
        <f t="shared" si="1"/>
        <v>2022</v>
      </c>
    </row>
    <row r="90" spans="1:6" ht="19.5" x14ac:dyDescent="0.55000000000000004">
      <c r="A90" s="16">
        <v>44757</v>
      </c>
      <c r="B90" s="17" t="s">
        <v>111</v>
      </c>
      <c r="C90" s="18" t="s">
        <v>20</v>
      </c>
      <c r="D90" s="17" t="s">
        <v>21</v>
      </c>
      <c r="E90" s="19">
        <v>146.05000000000001</v>
      </c>
      <c r="F90" s="18">
        <f t="shared" si="1"/>
        <v>2022</v>
      </c>
    </row>
    <row r="91" spans="1:6" ht="19.5" x14ac:dyDescent="0.55000000000000004">
      <c r="A91" s="20">
        <v>44758</v>
      </c>
      <c r="B91" s="21" t="s">
        <v>112</v>
      </c>
      <c r="C91" s="22" t="s">
        <v>20</v>
      </c>
      <c r="D91" s="21" t="s">
        <v>21</v>
      </c>
      <c r="E91" s="23">
        <v>146.07</v>
      </c>
      <c r="F91" s="22">
        <f t="shared" si="1"/>
        <v>2022</v>
      </c>
    </row>
    <row r="92" spans="1:6" ht="19.5" x14ac:dyDescent="0.55000000000000004">
      <c r="A92" s="16">
        <v>44759</v>
      </c>
      <c r="B92" s="17" t="s">
        <v>113</v>
      </c>
      <c r="C92" s="18" t="s">
        <v>20</v>
      </c>
      <c r="D92" s="17" t="s">
        <v>21</v>
      </c>
      <c r="E92" s="19">
        <v>145.66999999999999</v>
      </c>
      <c r="F92" s="18">
        <f t="shared" si="1"/>
        <v>2022</v>
      </c>
    </row>
    <row r="93" spans="1:6" ht="19.5" x14ac:dyDescent="0.55000000000000004">
      <c r="A93" s="20">
        <v>44760</v>
      </c>
      <c r="B93" s="21" t="s">
        <v>114</v>
      </c>
      <c r="C93" s="22" t="s">
        <v>20</v>
      </c>
      <c r="D93" s="21" t="s">
        <v>21</v>
      </c>
      <c r="E93" s="23">
        <v>154.16999999999999</v>
      </c>
      <c r="F93" s="22">
        <f t="shared" si="1"/>
        <v>2022</v>
      </c>
    </row>
    <row r="94" spans="1:6" ht="19.5" x14ac:dyDescent="0.55000000000000004">
      <c r="A94" s="16">
        <v>44761</v>
      </c>
      <c r="B94" s="17" t="s">
        <v>115</v>
      </c>
      <c r="C94" s="18" t="s">
        <v>20</v>
      </c>
      <c r="D94" s="17" t="s">
        <v>21</v>
      </c>
      <c r="E94" s="19">
        <v>166.23</v>
      </c>
      <c r="F94" s="18">
        <f t="shared" si="1"/>
        <v>2022</v>
      </c>
    </row>
    <row r="95" spans="1:6" ht="19.5" x14ac:dyDescent="0.55000000000000004">
      <c r="A95" s="20">
        <v>44762</v>
      </c>
      <c r="B95" s="21" t="s">
        <v>116</v>
      </c>
      <c r="C95" s="22" t="s">
        <v>20</v>
      </c>
      <c r="D95" s="21" t="s">
        <v>21</v>
      </c>
      <c r="E95" s="23">
        <v>58.19</v>
      </c>
      <c r="F95" s="22">
        <f t="shared" si="1"/>
        <v>2022</v>
      </c>
    </row>
    <row r="96" spans="1:6" ht="19.5" x14ac:dyDescent="0.55000000000000004">
      <c r="A96" s="16">
        <v>44763</v>
      </c>
      <c r="B96" s="17" t="s">
        <v>117</v>
      </c>
      <c r="C96" s="18" t="s">
        <v>20</v>
      </c>
      <c r="D96" s="17" t="s">
        <v>21</v>
      </c>
      <c r="E96" s="19">
        <v>0.02</v>
      </c>
      <c r="F96" s="18">
        <f t="shared" si="1"/>
        <v>2022</v>
      </c>
    </row>
    <row r="97" spans="1:6" ht="19.5" x14ac:dyDescent="0.55000000000000004">
      <c r="A97" s="20">
        <v>44786</v>
      </c>
      <c r="B97" s="21" t="s">
        <v>118</v>
      </c>
      <c r="C97" s="22" t="s">
        <v>119</v>
      </c>
      <c r="D97" s="21" t="s">
        <v>21</v>
      </c>
      <c r="E97" s="23">
        <v>-15.68</v>
      </c>
      <c r="F97" s="22">
        <f t="shared" si="1"/>
        <v>2022</v>
      </c>
    </row>
    <row r="98" spans="1:6" ht="19.5" x14ac:dyDescent="0.55000000000000004">
      <c r="A98" s="16">
        <v>44795</v>
      </c>
      <c r="B98" s="17" t="s">
        <v>120</v>
      </c>
      <c r="C98" s="18" t="s">
        <v>20</v>
      </c>
      <c r="D98" s="17" t="s">
        <v>21</v>
      </c>
      <c r="E98" s="19">
        <v>1000</v>
      </c>
      <c r="F98" s="18">
        <f t="shared" si="1"/>
        <v>2022</v>
      </c>
    </row>
    <row r="99" spans="1:6" ht="19.5" x14ac:dyDescent="0.55000000000000004">
      <c r="A99" s="20">
        <v>44796</v>
      </c>
      <c r="B99" s="21" t="s">
        <v>121</v>
      </c>
      <c r="C99" s="22" t="s">
        <v>20</v>
      </c>
      <c r="D99" s="21" t="s">
        <v>21</v>
      </c>
      <c r="E99" s="23">
        <v>50.51</v>
      </c>
      <c r="F99" s="22">
        <f t="shared" si="1"/>
        <v>2022</v>
      </c>
    </row>
    <row r="100" spans="1:6" ht="19.5" x14ac:dyDescent="0.55000000000000004">
      <c r="A100" s="16">
        <v>44797</v>
      </c>
      <c r="B100" s="17" t="s">
        <v>122</v>
      </c>
      <c r="C100" s="18" t="s">
        <v>20</v>
      </c>
      <c r="D100" s="17" t="s">
        <v>21</v>
      </c>
      <c r="E100" s="19">
        <v>133.54</v>
      </c>
      <c r="F100" s="18">
        <f t="shared" si="1"/>
        <v>2022</v>
      </c>
    </row>
    <row r="101" spans="1:6" ht="19.5" x14ac:dyDescent="0.55000000000000004">
      <c r="A101" s="20">
        <v>44798</v>
      </c>
      <c r="B101" s="21" t="s">
        <v>123</v>
      </c>
      <c r="C101" s="22" t="s">
        <v>20</v>
      </c>
      <c r="D101" s="21" t="s">
        <v>21</v>
      </c>
      <c r="E101" s="23">
        <v>149.66999999999999</v>
      </c>
      <c r="F101" s="22">
        <f t="shared" si="1"/>
        <v>2022</v>
      </c>
    </row>
    <row r="102" spans="1:6" ht="19.5" x14ac:dyDescent="0.55000000000000004">
      <c r="A102" s="16">
        <v>44800</v>
      </c>
      <c r="B102" s="17" t="s">
        <v>124</v>
      </c>
      <c r="C102" s="18" t="s">
        <v>20</v>
      </c>
      <c r="D102" s="17" t="s">
        <v>21</v>
      </c>
      <c r="E102" s="19">
        <v>298.07</v>
      </c>
      <c r="F102" s="18">
        <f t="shared" si="1"/>
        <v>2022</v>
      </c>
    </row>
    <row r="103" spans="1:6" ht="19.5" x14ac:dyDescent="0.55000000000000004">
      <c r="A103" s="20">
        <v>44801</v>
      </c>
      <c r="B103" s="21" t="s">
        <v>125</v>
      </c>
      <c r="C103" s="22" t="s">
        <v>20</v>
      </c>
      <c r="D103" s="21" t="s">
        <v>21</v>
      </c>
      <c r="E103" s="23">
        <v>142.69999999999999</v>
      </c>
      <c r="F103" s="22">
        <f t="shared" si="1"/>
        <v>2022</v>
      </c>
    </row>
    <row r="104" spans="1:6" ht="19.5" x14ac:dyDescent="0.55000000000000004">
      <c r="A104" s="16">
        <v>44802</v>
      </c>
      <c r="B104" s="17" t="s">
        <v>126</v>
      </c>
      <c r="C104" s="18" t="s">
        <v>20</v>
      </c>
      <c r="D104" s="17" t="s">
        <v>21</v>
      </c>
      <c r="E104" s="19">
        <v>153.36000000000001</v>
      </c>
      <c r="F104" s="18">
        <f t="shared" si="1"/>
        <v>2022</v>
      </c>
    </row>
    <row r="105" spans="1:6" ht="19.5" x14ac:dyDescent="0.55000000000000004">
      <c r="A105" s="20">
        <v>44803</v>
      </c>
      <c r="B105" s="21" t="s">
        <v>127</v>
      </c>
      <c r="C105" s="22" t="s">
        <v>20</v>
      </c>
      <c r="D105" s="21" t="s">
        <v>21</v>
      </c>
      <c r="E105" s="23">
        <v>56.43</v>
      </c>
      <c r="F105" s="22">
        <f t="shared" si="1"/>
        <v>2022</v>
      </c>
    </row>
    <row r="106" spans="1:6" ht="19.5" x14ac:dyDescent="0.55000000000000004">
      <c r="A106" s="16">
        <v>44967</v>
      </c>
      <c r="B106" s="17" t="s">
        <v>128</v>
      </c>
      <c r="C106" s="18" t="s">
        <v>20</v>
      </c>
      <c r="D106" s="17" t="s">
        <v>21</v>
      </c>
      <c r="E106" s="19">
        <v>1500</v>
      </c>
      <c r="F106" s="18">
        <f t="shared" si="1"/>
        <v>2023</v>
      </c>
    </row>
    <row r="107" spans="1:6" ht="19.5" x14ac:dyDescent="0.55000000000000004">
      <c r="A107" s="20">
        <v>44969</v>
      </c>
      <c r="B107" s="21" t="s">
        <v>129</v>
      </c>
      <c r="C107" s="22" t="s">
        <v>20</v>
      </c>
      <c r="D107" s="21" t="s">
        <v>21</v>
      </c>
      <c r="E107" s="23">
        <v>537.91999999999996</v>
      </c>
      <c r="F107" s="22">
        <f t="shared" si="1"/>
        <v>2023</v>
      </c>
    </row>
    <row r="108" spans="1:6" ht="19.5" x14ac:dyDescent="0.55000000000000004">
      <c r="A108" s="16">
        <v>44970</v>
      </c>
      <c r="B108" s="17" t="s">
        <v>130</v>
      </c>
      <c r="C108" s="18" t="s">
        <v>20</v>
      </c>
      <c r="D108" s="17" t="s">
        <v>21</v>
      </c>
      <c r="E108" s="19">
        <v>592.91</v>
      </c>
      <c r="F108" s="18">
        <f t="shared" si="1"/>
        <v>2023</v>
      </c>
    </row>
    <row r="109" spans="1:6" ht="19.5" x14ac:dyDescent="0.55000000000000004">
      <c r="A109" s="20">
        <v>44971</v>
      </c>
      <c r="B109" s="21" t="s">
        <v>131</v>
      </c>
      <c r="C109" s="22" t="s">
        <v>20</v>
      </c>
      <c r="D109" s="21" t="s">
        <v>21</v>
      </c>
      <c r="E109" s="23">
        <v>369.17</v>
      </c>
      <c r="F109" s="22">
        <f t="shared" si="1"/>
        <v>2023</v>
      </c>
    </row>
    <row r="110" spans="1:6" ht="19.5" x14ac:dyDescent="0.55000000000000004">
      <c r="A110" s="16">
        <v>44973</v>
      </c>
      <c r="B110" s="17" t="s">
        <v>132</v>
      </c>
      <c r="C110" s="18" t="s">
        <v>20</v>
      </c>
      <c r="D110" s="17" t="s">
        <v>21</v>
      </c>
      <c r="E110" s="19">
        <v>2000</v>
      </c>
      <c r="F110" s="18">
        <f t="shared" si="1"/>
        <v>2023</v>
      </c>
    </row>
    <row r="111" spans="1:6" ht="19.5" x14ac:dyDescent="0.55000000000000004">
      <c r="A111" s="20">
        <v>44974</v>
      </c>
      <c r="B111" s="21" t="s">
        <v>133</v>
      </c>
      <c r="C111" s="22" t="s">
        <v>20</v>
      </c>
      <c r="D111" s="21" t="s">
        <v>21</v>
      </c>
      <c r="E111" s="23">
        <v>172.06</v>
      </c>
      <c r="F111" s="22">
        <f t="shared" si="1"/>
        <v>2023</v>
      </c>
    </row>
    <row r="112" spans="1:6" ht="19.5" x14ac:dyDescent="0.55000000000000004">
      <c r="A112" s="16">
        <v>44975</v>
      </c>
      <c r="B112" s="17" t="s">
        <v>134</v>
      </c>
      <c r="C112" s="18" t="s">
        <v>20</v>
      </c>
      <c r="D112" s="17" t="s">
        <v>21</v>
      </c>
      <c r="E112" s="19">
        <v>552.71</v>
      </c>
      <c r="F112" s="18">
        <f t="shared" si="1"/>
        <v>2023</v>
      </c>
    </row>
    <row r="113" spans="1:6" ht="19.5" x14ac:dyDescent="0.55000000000000004">
      <c r="A113" s="20">
        <v>44976</v>
      </c>
      <c r="B113" s="21" t="s">
        <v>135</v>
      </c>
      <c r="C113" s="22" t="s">
        <v>20</v>
      </c>
      <c r="D113" s="21" t="s">
        <v>21</v>
      </c>
      <c r="E113" s="23">
        <v>570.26</v>
      </c>
      <c r="F113" s="22">
        <f t="shared" si="1"/>
        <v>2023</v>
      </c>
    </row>
    <row r="114" spans="1:6" ht="19.5" x14ac:dyDescent="0.55000000000000004">
      <c r="A114" s="16">
        <v>44977</v>
      </c>
      <c r="B114" s="17" t="s">
        <v>136</v>
      </c>
      <c r="C114" s="18" t="s">
        <v>20</v>
      </c>
      <c r="D114" s="17" t="s">
        <v>21</v>
      </c>
      <c r="E114" s="19">
        <v>589.28</v>
      </c>
      <c r="F114" s="18">
        <f t="shared" si="1"/>
        <v>2023</v>
      </c>
    </row>
    <row r="115" spans="1:6" ht="19.5" x14ac:dyDescent="0.55000000000000004">
      <c r="A115" s="20">
        <v>44978</v>
      </c>
      <c r="B115" s="21" t="s">
        <v>137</v>
      </c>
      <c r="C115" s="22" t="s">
        <v>20</v>
      </c>
      <c r="D115" s="21" t="s">
        <v>21</v>
      </c>
      <c r="E115" s="23">
        <v>3000</v>
      </c>
      <c r="F115" s="22">
        <f t="shared" si="1"/>
        <v>2023</v>
      </c>
    </row>
    <row r="116" spans="1:6" ht="19.5" x14ac:dyDescent="0.55000000000000004">
      <c r="A116" s="16">
        <v>44978</v>
      </c>
      <c r="B116" s="17" t="s">
        <v>138</v>
      </c>
      <c r="C116" s="18" t="s">
        <v>20</v>
      </c>
      <c r="D116" s="17" t="s">
        <v>21</v>
      </c>
      <c r="E116" s="19">
        <v>115.69</v>
      </c>
      <c r="F116" s="18">
        <f t="shared" si="1"/>
        <v>2023</v>
      </c>
    </row>
    <row r="117" spans="1:6" ht="19.5" x14ac:dyDescent="0.55000000000000004">
      <c r="A117" s="20">
        <v>44979</v>
      </c>
      <c r="B117" s="21" t="s">
        <v>139</v>
      </c>
      <c r="C117" s="22" t="s">
        <v>20</v>
      </c>
      <c r="D117" s="21" t="s">
        <v>21</v>
      </c>
      <c r="E117" s="23">
        <v>16.18</v>
      </c>
      <c r="F117" s="22">
        <f t="shared" si="1"/>
        <v>2023</v>
      </c>
    </row>
    <row r="118" spans="1:6" ht="19.5" x14ac:dyDescent="0.55000000000000004">
      <c r="A118" s="16">
        <v>44980</v>
      </c>
      <c r="B118" s="17" t="s">
        <v>140</v>
      </c>
      <c r="C118" s="18" t="s">
        <v>20</v>
      </c>
      <c r="D118" s="17" t="s">
        <v>21</v>
      </c>
      <c r="E118" s="19">
        <v>573.91</v>
      </c>
      <c r="F118" s="18">
        <f t="shared" si="1"/>
        <v>2023</v>
      </c>
    </row>
    <row r="119" spans="1:6" ht="19.5" x14ac:dyDescent="0.55000000000000004">
      <c r="A119" s="20">
        <v>44980</v>
      </c>
      <c r="B119" s="21" t="s">
        <v>141</v>
      </c>
      <c r="C119" s="22" t="s">
        <v>20</v>
      </c>
      <c r="D119" s="21" t="s">
        <v>21</v>
      </c>
      <c r="E119" s="23">
        <v>1500</v>
      </c>
      <c r="F119" s="22">
        <f t="shared" si="1"/>
        <v>2023</v>
      </c>
    </row>
    <row r="120" spans="1:6" ht="19.5" x14ac:dyDescent="0.55000000000000004">
      <c r="A120" s="16">
        <v>44981</v>
      </c>
      <c r="B120" s="17" t="s">
        <v>142</v>
      </c>
      <c r="C120" s="18" t="s">
        <v>20</v>
      </c>
      <c r="D120" s="17" t="s">
        <v>21</v>
      </c>
      <c r="E120" s="19">
        <v>742.56</v>
      </c>
      <c r="F120" s="18">
        <f t="shared" si="1"/>
        <v>2023</v>
      </c>
    </row>
    <row r="121" spans="1:6" ht="19.5" x14ac:dyDescent="0.55000000000000004">
      <c r="A121" s="20">
        <v>44982</v>
      </c>
      <c r="B121" s="21" t="s">
        <v>143</v>
      </c>
      <c r="C121" s="22" t="s">
        <v>20</v>
      </c>
      <c r="D121" s="21" t="s">
        <v>21</v>
      </c>
      <c r="E121" s="23">
        <v>1056.4100000000001</v>
      </c>
      <c r="F121" s="22">
        <f t="shared" si="1"/>
        <v>2023</v>
      </c>
    </row>
    <row r="122" spans="1:6" ht="19.5" x14ac:dyDescent="0.55000000000000004">
      <c r="A122" s="16">
        <v>44983</v>
      </c>
      <c r="B122" s="17" t="s">
        <v>144</v>
      </c>
      <c r="C122" s="18" t="s">
        <v>20</v>
      </c>
      <c r="D122" s="17" t="s">
        <v>21</v>
      </c>
      <c r="E122" s="19">
        <v>1071.48</v>
      </c>
      <c r="F122" s="18">
        <f t="shared" si="1"/>
        <v>2023</v>
      </c>
    </row>
    <row r="123" spans="1:6" ht="19.5" x14ac:dyDescent="0.55000000000000004">
      <c r="A123" s="20">
        <v>44984</v>
      </c>
      <c r="B123" s="21" t="s">
        <v>145</v>
      </c>
      <c r="C123" s="22" t="s">
        <v>20</v>
      </c>
      <c r="D123" s="21" t="s">
        <v>21</v>
      </c>
      <c r="E123" s="23">
        <v>6000</v>
      </c>
      <c r="F123" s="22">
        <f t="shared" si="1"/>
        <v>2023</v>
      </c>
    </row>
    <row r="124" spans="1:6" ht="19.5" x14ac:dyDescent="0.55000000000000004">
      <c r="A124" s="16">
        <v>44984</v>
      </c>
      <c r="B124" s="17" t="s">
        <v>146</v>
      </c>
      <c r="C124" s="18" t="s">
        <v>20</v>
      </c>
      <c r="D124" s="17" t="s">
        <v>21</v>
      </c>
      <c r="E124" s="19">
        <v>744.69</v>
      </c>
      <c r="F124" s="18">
        <f t="shared" si="1"/>
        <v>2023</v>
      </c>
    </row>
    <row r="125" spans="1:6" ht="19.5" x14ac:dyDescent="0.55000000000000004">
      <c r="A125" s="20">
        <v>44985</v>
      </c>
      <c r="B125" s="21" t="s">
        <v>147</v>
      </c>
      <c r="C125" s="22" t="s">
        <v>20</v>
      </c>
      <c r="D125" s="21" t="s">
        <v>21</v>
      </c>
      <c r="E125" s="23">
        <v>296.18</v>
      </c>
      <c r="F125" s="22">
        <f t="shared" si="1"/>
        <v>2023</v>
      </c>
    </row>
    <row r="126" spans="1:6" ht="19.5" x14ac:dyDescent="0.55000000000000004">
      <c r="A126" s="16">
        <v>44986</v>
      </c>
      <c r="B126" s="17" t="s">
        <v>148</v>
      </c>
      <c r="C126" s="18" t="s">
        <v>20</v>
      </c>
      <c r="D126" s="17" t="s">
        <v>21</v>
      </c>
      <c r="E126" s="19">
        <v>1134.76</v>
      </c>
      <c r="F126" s="18">
        <f t="shared" si="1"/>
        <v>2023</v>
      </c>
    </row>
    <row r="127" spans="1:6" ht="19.5" x14ac:dyDescent="0.55000000000000004">
      <c r="A127" s="20">
        <v>44987</v>
      </c>
      <c r="B127" s="21" t="s">
        <v>149</v>
      </c>
      <c r="C127" s="22" t="s">
        <v>20</v>
      </c>
      <c r="D127" s="21" t="s">
        <v>21</v>
      </c>
      <c r="E127" s="23">
        <v>1028.93</v>
      </c>
      <c r="F127" s="22">
        <f t="shared" si="1"/>
        <v>2023</v>
      </c>
    </row>
    <row r="128" spans="1:6" ht="19.5" x14ac:dyDescent="0.55000000000000004">
      <c r="A128" s="16">
        <v>44988</v>
      </c>
      <c r="B128" s="17" t="s">
        <v>150</v>
      </c>
      <c r="C128" s="18" t="s">
        <v>20</v>
      </c>
      <c r="D128" s="17" t="s">
        <v>21</v>
      </c>
      <c r="E128" s="19">
        <v>1024.74</v>
      </c>
      <c r="F128" s="18">
        <f t="shared" si="1"/>
        <v>2023</v>
      </c>
    </row>
    <row r="129" spans="1:6" ht="19.5" x14ac:dyDescent="0.55000000000000004">
      <c r="A129" s="20">
        <v>44989</v>
      </c>
      <c r="B129" s="21" t="s">
        <v>151</v>
      </c>
      <c r="C129" s="22" t="s">
        <v>20</v>
      </c>
      <c r="D129" s="21" t="s">
        <v>21</v>
      </c>
      <c r="E129" s="23">
        <v>1011.93</v>
      </c>
      <c r="F129" s="22">
        <f t="shared" si="1"/>
        <v>2023</v>
      </c>
    </row>
    <row r="130" spans="1:6" ht="19.5" x14ac:dyDescent="0.55000000000000004">
      <c r="A130" s="16">
        <v>44990</v>
      </c>
      <c r="B130" s="17" t="s">
        <v>152</v>
      </c>
      <c r="C130" s="18" t="s">
        <v>20</v>
      </c>
      <c r="D130" s="17" t="s">
        <v>21</v>
      </c>
      <c r="E130" s="19">
        <v>1135.0899999999999</v>
      </c>
      <c r="F130" s="18">
        <f t="shared" ref="F130:F193" si="2">YEAR(A130)</f>
        <v>2023</v>
      </c>
    </row>
    <row r="131" spans="1:6" ht="19.5" x14ac:dyDescent="0.55000000000000004">
      <c r="A131" s="20">
        <v>44991</v>
      </c>
      <c r="B131" s="21" t="s">
        <v>153</v>
      </c>
      <c r="C131" s="22" t="s">
        <v>20</v>
      </c>
      <c r="D131" s="21" t="s">
        <v>21</v>
      </c>
      <c r="E131" s="23">
        <v>684.76</v>
      </c>
      <c r="F131" s="22">
        <f t="shared" si="2"/>
        <v>2023</v>
      </c>
    </row>
    <row r="132" spans="1:6" ht="19.5" x14ac:dyDescent="0.55000000000000004">
      <c r="A132" s="16">
        <v>44992</v>
      </c>
      <c r="B132" s="17" t="s">
        <v>154</v>
      </c>
      <c r="C132" s="18" t="s">
        <v>20</v>
      </c>
      <c r="D132" s="17" t="s">
        <v>21</v>
      </c>
      <c r="E132" s="19">
        <v>5000</v>
      </c>
      <c r="F132" s="18">
        <f t="shared" si="2"/>
        <v>2023</v>
      </c>
    </row>
    <row r="133" spans="1:6" ht="19.5" x14ac:dyDescent="0.55000000000000004">
      <c r="A133" s="20">
        <v>44993</v>
      </c>
      <c r="B133" s="21" t="s">
        <v>155</v>
      </c>
      <c r="C133" s="22" t="s">
        <v>20</v>
      </c>
      <c r="D133" s="21" t="s">
        <v>21</v>
      </c>
      <c r="E133" s="23">
        <v>509.64</v>
      </c>
      <c r="F133" s="22">
        <f t="shared" si="2"/>
        <v>2023</v>
      </c>
    </row>
    <row r="134" spans="1:6" ht="19.5" x14ac:dyDescent="0.55000000000000004">
      <c r="A134" s="16">
        <v>44994</v>
      </c>
      <c r="B134" s="17" t="s">
        <v>156</v>
      </c>
      <c r="C134" s="18" t="s">
        <v>20</v>
      </c>
      <c r="D134" s="17" t="s">
        <v>21</v>
      </c>
      <c r="E134" s="19">
        <v>988.43</v>
      </c>
      <c r="F134" s="18">
        <f t="shared" si="2"/>
        <v>2023</v>
      </c>
    </row>
    <row r="135" spans="1:6" ht="19.5" x14ac:dyDescent="0.55000000000000004">
      <c r="A135" s="20">
        <v>44995</v>
      </c>
      <c r="B135" s="21" t="s">
        <v>157</v>
      </c>
      <c r="C135" s="22" t="s">
        <v>20</v>
      </c>
      <c r="D135" s="21" t="s">
        <v>21</v>
      </c>
      <c r="E135" s="23">
        <v>990.2</v>
      </c>
      <c r="F135" s="22">
        <f t="shared" si="2"/>
        <v>2023</v>
      </c>
    </row>
    <row r="136" spans="1:6" ht="19.5" x14ac:dyDescent="0.55000000000000004">
      <c r="A136" s="16">
        <v>44996</v>
      </c>
      <c r="B136" s="17" t="s">
        <v>158</v>
      </c>
      <c r="C136" s="18" t="s">
        <v>20</v>
      </c>
      <c r="D136" s="17" t="s">
        <v>21</v>
      </c>
      <c r="E136" s="19">
        <v>1035.3499999999999</v>
      </c>
      <c r="F136" s="18">
        <f t="shared" si="2"/>
        <v>2023</v>
      </c>
    </row>
    <row r="137" spans="1:6" ht="19.5" x14ac:dyDescent="0.55000000000000004">
      <c r="A137" s="20">
        <v>44997</v>
      </c>
      <c r="B137" s="21" t="s">
        <v>159</v>
      </c>
      <c r="C137" s="22" t="s">
        <v>20</v>
      </c>
      <c r="D137" s="21" t="s">
        <v>21</v>
      </c>
      <c r="E137" s="23">
        <v>1110.4100000000001</v>
      </c>
      <c r="F137" s="22">
        <f t="shared" si="2"/>
        <v>2023</v>
      </c>
    </row>
    <row r="138" spans="1:6" ht="19.5" x14ac:dyDescent="0.55000000000000004">
      <c r="A138" s="16">
        <v>44997</v>
      </c>
      <c r="B138" s="17" t="s">
        <v>160</v>
      </c>
      <c r="C138" s="18" t="s">
        <v>20</v>
      </c>
      <c r="D138" s="17" t="s">
        <v>21</v>
      </c>
      <c r="E138" s="19">
        <v>7000</v>
      </c>
      <c r="F138" s="18">
        <f t="shared" si="2"/>
        <v>2023</v>
      </c>
    </row>
    <row r="139" spans="1:6" ht="19.5" x14ac:dyDescent="0.55000000000000004">
      <c r="A139" s="20">
        <v>44998</v>
      </c>
      <c r="B139" s="21" t="s">
        <v>161</v>
      </c>
      <c r="C139" s="22" t="s">
        <v>20</v>
      </c>
      <c r="D139" s="21" t="s">
        <v>21</v>
      </c>
      <c r="E139" s="23">
        <v>768.64</v>
      </c>
      <c r="F139" s="22">
        <f t="shared" si="2"/>
        <v>2023</v>
      </c>
    </row>
    <row r="140" spans="1:6" ht="19.5" x14ac:dyDescent="0.55000000000000004">
      <c r="A140" s="16">
        <v>44999</v>
      </c>
      <c r="B140" s="17" t="s">
        <v>162</v>
      </c>
      <c r="C140" s="18" t="s">
        <v>20</v>
      </c>
      <c r="D140" s="17" t="s">
        <v>21</v>
      </c>
      <c r="E140" s="19">
        <v>1117.02</v>
      </c>
      <c r="F140" s="18">
        <f t="shared" si="2"/>
        <v>2023</v>
      </c>
    </row>
    <row r="141" spans="1:6" ht="19.5" x14ac:dyDescent="0.55000000000000004">
      <c r="A141" s="20">
        <v>45000</v>
      </c>
      <c r="B141" s="21" t="s">
        <v>163</v>
      </c>
      <c r="C141" s="22" t="s">
        <v>20</v>
      </c>
      <c r="D141" s="21" t="s">
        <v>21</v>
      </c>
      <c r="E141" s="23">
        <v>966.44</v>
      </c>
      <c r="F141" s="22">
        <f t="shared" si="2"/>
        <v>2023</v>
      </c>
    </row>
    <row r="142" spans="1:6" ht="19.5" x14ac:dyDescent="0.55000000000000004">
      <c r="A142" s="16">
        <v>45001</v>
      </c>
      <c r="B142" s="17" t="s">
        <v>164</v>
      </c>
      <c r="C142" s="18" t="s">
        <v>20</v>
      </c>
      <c r="D142" s="17" t="s">
        <v>21</v>
      </c>
      <c r="E142" s="19">
        <v>1019.43</v>
      </c>
      <c r="F142" s="18">
        <f t="shared" si="2"/>
        <v>2023</v>
      </c>
    </row>
    <row r="143" spans="1:6" ht="19.5" x14ac:dyDescent="0.55000000000000004">
      <c r="A143" s="20">
        <v>45002</v>
      </c>
      <c r="B143" s="21" t="s">
        <v>165</v>
      </c>
      <c r="C143" s="22" t="s">
        <v>20</v>
      </c>
      <c r="D143" s="21" t="s">
        <v>21</v>
      </c>
      <c r="E143" s="23">
        <v>932.52</v>
      </c>
      <c r="F143" s="22">
        <f t="shared" si="2"/>
        <v>2023</v>
      </c>
    </row>
    <row r="144" spans="1:6" ht="19.5" x14ac:dyDescent="0.55000000000000004">
      <c r="A144" s="16">
        <v>45003</v>
      </c>
      <c r="B144" s="17" t="s">
        <v>166</v>
      </c>
      <c r="C144" s="18" t="s">
        <v>20</v>
      </c>
      <c r="D144" s="17" t="s">
        <v>21</v>
      </c>
      <c r="E144" s="19">
        <v>1017.75</v>
      </c>
      <c r="F144" s="18">
        <f t="shared" si="2"/>
        <v>2023</v>
      </c>
    </row>
    <row r="145" spans="1:6" ht="19.5" x14ac:dyDescent="0.55000000000000004">
      <c r="A145" s="20">
        <v>45004</v>
      </c>
      <c r="B145" s="21" t="s">
        <v>167</v>
      </c>
      <c r="C145" s="22" t="s">
        <v>20</v>
      </c>
      <c r="D145" s="21" t="s">
        <v>21</v>
      </c>
      <c r="E145" s="23">
        <v>1002.94</v>
      </c>
      <c r="F145" s="22">
        <f t="shared" si="2"/>
        <v>2023</v>
      </c>
    </row>
    <row r="146" spans="1:6" ht="19.5" x14ac:dyDescent="0.55000000000000004">
      <c r="A146" s="16">
        <v>45005</v>
      </c>
      <c r="B146" s="17" t="s">
        <v>168</v>
      </c>
      <c r="C146" s="18" t="s">
        <v>20</v>
      </c>
      <c r="D146" s="17" t="s">
        <v>21</v>
      </c>
      <c r="E146" s="19">
        <v>541.17999999999995</v>
      </c>
      <c r="F146" s="18">
        <f t="shared" si="2"/>
        <v>2023</v>
      </c>
    </row>
    <row r="147" spans="1:6" ht="19.5" x14ac:dyDescent="0.55000000000000004">
      <c r="A147" s="20">
        <v>45006</v>
      </c>
      <c r="B147" s="21" t="s">
        <v>169</v>
      </c>
      <c r="C147" s="22" t="s">
        <v>20</v>
      </c>
      <c r="D147" s="21" t="s">
        <v>21</v>
      </c>
      <c r="E147" s="23">
        <v>5000</v>
      </c>
      <c r="F147" s="22">
        <f t="shared" si="2"/>
        <v>2023</v>
      </c>
    </row>
    <row r="148" spans="1:6" ht="19.5" x14ac:dyDescent="0.55000000000000004">
      <c r="A148" s="16">
        <v>45007</v>
      </c>
      <c r="B148" s="17" t="s">
        <v>170</v>
      </c>
      <c r="C148" s="18" t="s">
        <v>20</v>
      </c>
      <c r="D148" s="17" t="s">
        <v>21</v>
      </c>
      <c r="E148" s="19">
        <v>199.2</v>
      </c>
      <c r="F148" s="18">
        <f t="shared" si="2"/>
        <v>2023</v>
      </c>
    </row>
    <row r="149" spans="1:6" ht="19.5" x14ac:dyDescent="0.55000000000000004">
      <c r="A149" s="20">
        <v>45008</v>
      </c>
      <c r="B149" s="21" t="s">
        <v>171</v>
      </c>
      <c r="C149" s="22" t="s">
        <v>20</v>
      </c>
      <c r="D149" s="21" t="s">
        <v>21</v>
      </c>
      <c r="E149" s="23">
        <v>987.29</v>
      </c>
      <c r="F149" s="22">
        <f t="shared" si="2"/>
        <v>2023</v>
      </c>
    </row>
    <row r="150" spans="1:6" ht="19.5" x14ac:dyDescent="0.55000000000000004">
      <c r="A150" s="16">
        <v>45009</v>
      </c>
      <c r="B150" s="17" t="s">
        <v>172</v>
      </c>
      <c r="C150" s="18" t="s">
        <v>20</v>
      </c>
      <c r="D150" s="17" t="s">
        <v>21</v>
      </c>
      <c r="E150" s="19">
        <v>1038.1600000000001</v>
      </c>
      <c r="F150" s="18">
        <f t="shared" si="2"/>
        <v>2023</v>
      </c>
    </row>
    <row r="151" spans="1:6" ht="19.5" x14ac:dyDescent="0.55000000000000004">
      <c r="A151" s="20">
        <v>45010</v>
      </c>
      <c r="B151" s="21" t="s">
        <v>173</v>
      </c>
      <c r="C151" s="22" t="s">
        <v>20</v>
      </c>
      <c r="D151" s="21" t="s">
        <v>21</v>
      </c>
      <c r="E151" s="23">
        <v>958.12</v>
      </c>
      <c r="F151" s="22">
        <f t="shared" si="2"/>
        <v>2023</v>
      </c>
    </row>
    <row r="152" spans="1:6" ht="19.5" x14ac:dyDescent="0.55000000000000004">
      <c r="A152" s="16">
        <v>45012</v>
      </c>
      <c r="B152" s="17" t="s">
        <v>174</v>
      </c>
      <c r="C152" s="18" t="s">
        <v>20</v>
      </c>
      <c r="D152" s="17" t="s">
        <v>21</v>
      </c>
      <c r="E152" s="19">
        <v>1817.21</v>
      </c>
      <c r="F152" s="18">
        <f t="shared" si="2"/>
        <v>2023</v>
      </c>
    </row>
    <row r="153" spans="1:6" ht="19.5" x14ac:dyDescent="0.55000000000000004">
      <c r="A153" s="20">
        <v>45014</v>
      </c>
      <c r="B153" s="21" t="s">
        <v>175</v>
      </c>
      <c r="C153" s="22" t="s">
        <v>20</v>
      </c>
      <c r="D153" s="21" t="s">
        <v>21</v>
      </c>
      <c r="E153" s="23">
        <v>2500</v>
      </c>
      <c r="F153" s="22">
        <f t="shared" si="2"/>
        <v>2023</v>
      </c>
    </row>
    <row r="154" spans="1:6" ht="19.5" x14ac:dyDescent="0.55000000000000004">
      <c r="A154" s="16">
        <v>45016</v>
      </c>
      <c r="B154" s="17" t="s">
        <v>176</v>
      </c>
      <c r="C154" s="18" t="s">
        <v>20</v>
      </c>
      <c r="D154" s="17" t="s">
        <v>21</v>
      </c>
      <c r="E154" s="19">
        <v>319.26</v>
      </c>
      <c r="F154" s="18">
        <f t="shared" si="2"/>
        <v>2023</v>
      </c>
    </row>
    <row r="155" spans="1:6" ht="19.5" x14ac:dyDescent="0.55000000000000004">
      <c r="A155" s="20">
        <v>45017</v>
      </c>
      <c r="B155" s="21" t="s">
        <v>177</v>
      </c>
      <c r="C155" s="22" t="s">
        <v>20</v>
      </c>
      <c r="D155" s="21" t="s">
        <v>21</v>
      </c>
      <c r="E155" s="23">
        <v>1246.3599999999999</v>
      </c>
      <c r="F155" s="22">
        <f t="shared" si="2"/>
        <v>2023</v>
      </c>
    </row>
    <row r="156" spans="1:6" ht="19.5" x14ac:dyDescent="0.55000000000000004">
      <c r="A156" s="16">
        <v>45018</v>
      </c>
      <c r="B156" s="17" t="s">
        <v>178</v>
      </c>
      <c r="C156" s="18" t="s">
        <v>20</v>
      </c>
      <c r="D156" s="17" t="s">
        <v>21</v>
      </c>
      <c r="E156" s="19">
        <v>934.36</v>
      </c>
      <c r="F156" s="18">
        <f t="shared" si="2"/>
        <v>2023</v>
      </c>
    </row>
    <row r="157" spans="1:6" ht="19.5" x14ac:dyDescent="0.55000000000000004">
      <c r="A157" s="20">
        <v>45021</v>
      </c>
      <c r="B157" s="21" t="s">
        <v>179</v>
      </c>
      <c r="C157" s="22" t="s">
        <v>20</v>
      </c>
      <c r="D157" s="21" t="s">
        <v>21</v>
      </c>
      <c r="E157" s="23">
        <v>2500</v>
      </c>
      <c r="F157" s="22">
        <f t="shared" si="2"/>
        <v>2023</v>
      </c>
    </row>
    <row r="158" spans="1:6" ht="19.5" x14ac:dyDescent="0.55000000000000004">
      <c r="A158" s="16">
        <v>45022</v>
      </c>
      <c r="B158" s="17" t="s">
        <v>180</v>
      </c>
      <c r="C158" s="18" t="s">
        <v>20</v>
      </c>
      <c r="D158" s="17" t="s">
        <v>21</v>
      </c>
      <c r="E158" s="19">
        <v>304.14</v>
      </c>
      <c r="F158" s="18">
        <f t="shared" si="2"/>
        <v>2023</v>
      </c>
    </row>
    <row r="159" spans="1:6" ht="19.5" x14ac:dyDescent="0.55000000000000004">
      <c r="A159" s="20">
        <v>45023</v>
      </c>
      <c r="B159" s="21" t="s">
        <v>181</v>
      </c>
      <c r="C159" s="22" t="s">
        <v>20</v>
      </c>
      <c r="D159" s="21" t="s">
        <v>21</v>
      </c>
      <c r="E159" s="23">
        <v>476.29</v>
      </c>
      <c r="F159" s="22">
        <f t="shared" si="2"/>
        <v>2023</v>
      </c>
    </row>
    <row r="160" spans="1:6" ht="19.5" x14ac:dyDescent="0.55000000000000004">
      <c r="A160" s="16">
        <v>45024</v>
      </c>
      <c r="B160" s="17" t="s">
        <v>182</v>
      </c>
      <c r="C160" s="18" t="s">
        <v>20</v>
      </c>
      <c r="D160" s="17" t="s">
        <v>21</v>
      </c>
      <c r="E160" s="19">
        <v>512.79</v>
      </c>
      <c r="F160" s="18">
        <f t="shared" si="2"/>
        <v>2023</v>
      </c>
    </row>
    <row r="161" spans="1:6" ht="19.5" x14ac:dyDescent="0.55000000000000004">
      <c r="A161" s="20">
        <v>45025</v>
      </c>
      <c r="B161" s="21" t="s">
        <v>183</v>
      </c>
      <c r="C161" s="22" t="s">
        <v>20</v>
      </c>
      <c r="D161" s="21" t="s">
        <v>21</v>
      </c>
      <c r="E161" s="23">
        <v>563.77</v>
      </c>
      <c r="F161" s="22">
        <f t="shared" si="2"/>
        <v>2023</v>
      </c>
    </row>
    <row r="162" spans="1:6" ht="19.5" x14ac:dyDescent="0.55000000000000004">
      <c r="A162" s="16">
        <v>45026</v>
      </c>
      <c r="B162" s="17" t="s">
        <v>184</v>
      </c>
      <c r="C162" s="18" t="s">
        <v>20</v>
      </c>
      <c r="D162" s="17" t="s">
        <v>21</v>
      </c>
      <c r="E162" s="19">
        <v>554.5</v>
      </c>
      <c r="F162" s="18">
        <f t="shared" si="2"/>
        <v>2023</v>
      </c>
    </row>
    <row r="163" spans="1:6" ht="19.5" x14ac:dyDescent="0.55000000000000004">
      <c r="A163" s="20">
        <v>45027</v>
      </c>
      <c r="B163" s="21" t="s">
        <v>185</v>
      </c>
      <c r="C163" s="22" t="s">
        <v>20</v>
      </c>
      <c r="D163" s="21" t="s">
        <v>21</v>
      </c>
      <c r="E163" s="23">
        <v>88.51</v>
      </c>
      <c r="F163" s="22">
        <f t="shared" si="2"/>
        <v>2023</v>
      </c>
    </row>
    <row r="164" spans="1:6" ht="19.5" x14ac:dyDescent="0.55000000000000004">
      <c r="A164" s="16">
        <v>45027</v>
      </c>
      <c r="B164" s="17" t="s">
        <v>186</v>
      </c>
      <c r="C164" s="18" t="s">
        <v>20</v>
      </c>
      <c r="D164" s="17" t="s">
        <v>21</v>
      </c>
      <c r="E164" s="19">
        <v>2500</v>
      </c>
      <c r="F164" s="18">
        <f t="shared" si="2"/>
        <v>2023</v>
      </c>
    </row>
    <row r="165" spans="1:6" ht="19.5" x14ac:dyDescent="0.55000000000000004">
      <c r="A165" s="20">
        <v>45028</v>
      </c>
      <c r="B165" s="21" t="s">
        <v>187</v>
      </c>
      <c r="C165" s="22" t="s">
        <v>20</v>
      </c>
      <c r="D165" s="21" t="s">
        <v>21</v>
      </c>
      <c r="E165" s="23">
        <v>3000</v>
      </c>
      <c r="F165" s="22">
        <f t="shared" si="2"/>
        <v>2023</v>
      </c>
    </row>
    <row r="166" spans="1:6" ht="19.5" x14ac:dyDescent="0.55000000000000004">
      <c r="A166" s="16">
        <v>45028</v>
      </c>
      <c r="B166" s="17" t="s">
        <v>188</v>
      </c>
      <c r="C166" s="18" t="s">
        <v>20</v>
      </c>
      <c r="D166" s="17" t="s">
        <v>21</v>
      </c>
      <c r="E166" s="19">
        <v>9.57</v>
      </c>
      <c r="F166" s="18">
        <f t="shared" si="2"/>
        <v>2023</v>
      </c>
    </row>
    <row r="167" spans="1:6" ht="19.5" x14ac:dyDescent="0.55000000000000004">
      <c r="A167" s="20">
        <v>45029</v>
      </c>
      <c r="B167" s="21" t="s">
        <v>189</v>
      </c>
      <c r="C167" s="22" t="s">
        <v>20</v>
      </c>
      <c r="D167" s="21" t="s">
        <v>21</v>
      </c>
      <c r="E167" s="23">
        <v>914.75</v>
      </c>
      <c r="F167" s="22">
        <f t="shared" si="2"/>
        <v>2023</v>
      </c>
    </row>
    <row r="168" spans="1:6" ht="19.5" x14ac:dyDescent="0.55000000000000004">
      <c r="A168" s="16">
        <v>45030</v>
      </c>
      <c r="B168" s="17" t="s">
        <v>190</v>
      </c>
      <c r="C168" s="18" t="s">
        <v>20</v>
      </c>
      <c r="D168" s="17" t="s">
        <v>21</v>
      </c>
      <c r="E168" s="19">
        <v>1616.96</v>
      </c>
      <c r="F168" s="18">
        <f t="shared" si="2"/>
        <v>2023</v>
      </c>
    </row>
    <row r="169" spans="1:6" ht="19.5" x14ac:dyDescent="0.55000000000000004">
      <c r="A169" s="20">
        <v>45031</v>
      </c>
      <c r="B169" s="21" t="s">
        <v>191</v>
      </c>
      <c r="C169" s="22" t="s">
        <v>20</v>
      </c>
      <c r="D169" s="21" t="s">
        <v>21</v>
      </c>
      <c r="E169" s="23">
        <v>1444.21</v>
      </c>
      <c r="F169" s="22">
        <f t="shared" si="2"/>
        <v>2023</v>
      </c>
    </row>
    <row r="170" spans="1:6" ht="19.5" x14ac:dyDescent="0.55000000000000004">
      <c r="A170" s="16">
        <v>45032</v>
      </c>
      <c r="B170" s="17" t="s">
        <v>192</v>
      </c>
      <c r="C170" s="18" t="s">
        <v>20</v>
      </c>
      <c r="D170" s="17" t="s">
        <v>21</v>
      </c>
      <c r="E170" s="19">
        <v>1057.07</v>
      </c>
      <c r="F170" s="18">
        <f t="shared" si="2"/>
        <v>2023</v>
      </c>
    </row>
    <row r="171" spans="1:6" ht="19.5" x14ac:dyDescent="0.55000000000000004">
      <c r="A171" s="20">
        <v>45033</v>
      </c>
      <c r="B171" s="21" t="s">
        <v>193</v>
      </c>
      <c r="C171" s="22" t="s">
        <v>20</v>
      </c>
      <c r="D171" s="21" t="s">
        <v>21</v>
      </c>
      <c r="E171" s="23">
        <v>456.94</v>
      </c>
      <c r="F171" s="22">
        <f t="shared" si="2"/>
        <v>2023</v>
      </c>
    </row>
    <row r="172" spans="1:6" ht="19.5" x14ac:dyDescent="0.55000000000000004">
      <c r="A172" s="16">
        <v>45035</v>
      </c>
      <c r="B172" s="17" t="s">
        <v>194</v>
      </c>
      <c r="C172" s="18" t="s">
        <v>20</v>
      </c>
      <c r="D172" s="17" t="s">
        <v>21</v>
      </c>
      <c r="E172" s="19">
        <v>2500</v>
      </c>
      <c r="F172" s="18">
        <f t="shared" si="2"/>
        <v>2023</v>
      </c>
    </row>
    <row r="173" spans="1:6" ht="19.5" x14ac:dyDescent="0.55000000000000004">
      <c r="A173" s="20">
        <v>45035</v>
      </c>
      <c r="B173" s="21" t="s">
        <v>195</v>
      </c>
      <c r="C173" s="22" t="s">
        <v>20</v>
      </c>
      <c r="D173" s="21" t="s">
        <v>21</v>
      </c>
      <c r="E173" s="23">
        <v>2500</v>
      </c>
      <c r="F173" s="22">
        <f t="shared" si="2"/>
        <v>2023</v>
      </c>
    </row>
    <row r="174" spans="1:6" ht="19.5" x14ac:dyDescent="0.55000000000000004">
      <c r="A174" s="16">
        <v>45036</v>
      </c>
      <c r="B174" s="17" t="s">
        <v>196</v>
      </c>
      <c r="C174" s="18" t="s">
        <v>20</v>
      </c>
      <c r="D174" s="17" t="s">
        <v>21</v>
      </c>
      <c r="E174" s="19">
        <v>663.75</v>
      </c>
      <c r="F174" s="18">
        <f t="shared" si="2"/>
        <v>2023</v>
      </c>
    </row>
    <row r="175" spans="1:6" ht="19.5" x14ac:dyDescent="0.55000000000000004">
      <c r="A175" s="20">
        <v>45037</v>
      </c>
      <c r="B175" s="21" t="s">
        <v>197</v>
      </c>
      <c r="C175" s="22" t="s">
        <v>20</v>
      </c>
      <c r="D175" s="21" t="s">
        <v>21</v>
      </c>
      <c r="E175" s="23">
        <v>960.43</v>
      </c>
      <c r="F175" s="22">
        <f t="shared" si="2"/>
        <v>2023</v>
      </c>
    </row>
    <row r="176" spans="1:6" ht="19.5" x14ac:dyDescent="0.55000000000000004">
      <c r="A176" s="16">
        <v>45038</v>
      </c>
      <c r="B176" s="17" t="s">
        <v>198</v>
      </c>
      <c r="C176" s="18" t="s">
        <v>20</v>
      </c>
      <c r="D176" s="17" t="s">
        <v>21</v>
      </c>
      <c r="E176" s="19">
        <v>1119.45</v>
      </c>
      <c r="F176" s="18">
        <f t="shared" si="2"/>
        <v>2023</v>
      </c>
    </row>
    <row r="177" spans="1:6" ht="19.5" x14ac:dyDescent="0.55000000000000004">
      <c r="A177" s="20">
        <v>45039</v>
      </c>
      <c r="B177" s="21" t="s">
        <v>199</v>
      </c>
      <c r="C177" s="22" t="s">
        <v>20</v>
      </c>
      <c r="D177" s="21" t="s">
        <v>21</v>
      </c>
      <c r="E177" s="23">
        <v>963.07</v>
      </c>
      <c r="F177" s="22">
        <f t="shared" si="2"/>
        <v>2023</v>
      </c>
    </row>
    <row r="178" spans="1:6" ht="19.5" x14ac:dyDescent="0.55000000000000004">
      <c r="A178" s="16">
        <v>45040</v>
      </c>
      <c r="B178" s="17" t="s">
        <v>200</v>
      </c>
      <c r="C178" s="18" t="s">
        <v>20</v>
      </c>
      <c r="D178" s="17" t="s">
        <v>21</v>
      </c>
      <c r="E178" s="19">
        <v>1175.92</v>
      </c>
      <c r="F178" s="18">
        <f t="shared" si="2"/>
        <v>2023</v>
      </c>
    </row>
    <row r="179" spans="1:6" ht="19.5" x14ac:dyDescent="0.55000000000000004">
      <c r="A179" s="20">
        <v>45041</v>
      </c>
      <c r="B179" s="21" t="s">
        <v>201</v>
      </c>
      <c r="C179" s="22" t="s">
        <v>20</v>
      </c>
      <c r="D179" s="21" t="s">
        <v>21</v>
      </c>
      <c r="E179" s="23">
        <v>117.38</v>
      </c>
      <c r="F179" s="22">
        <f t="shared" si="2"/>
        <v>2023</v>
      </c>
    </row>
    <row r="180" spans="1:6" ht="19.5" x14ac:dyDescent="0.55000000000000004">
      <c r="A180" s="16">
        <v>45043</v>
      </c>
      <c r="B180" s="17" t="s">
        <v>202</v>
      </c>
      <c r="C180" s="18" t="s">
        <v>20</v>
      </c>
      <c r="D180" s="17" t="s">
        <v>21</v>
      </c>
      <c r="E180" s="19">
        <v>1500</v>
      </c>
      <c r="F180" s="18">
        <f t="shared" si="2"/>
        <v>2023</v>
      </c>
    </row>
    <row r="181" spans="1:6" ht="19.5" x14ac:dyDescent="0.55000000000000004">
      <c r="A181" s="20">
        <v>45043</v>
      </c>
      <c r="B181" s="21" t="s">
        <v>203</v>
      </c>
      <c r="C181" s="22" t="s">
        <v>20</v>
      </c>
      <c r="D181" s="21" t="s">
        <v>21</v>
      </c>
      <c r="E181" s="23">
        <v>1500</v>
      </c>
      <c r="F181" s="22">
        <f t="shared" si="2"/>
        <v>2023</v>
      </c>
    </row>
    <row r="182" spans="1:6" ht="19.5" x14ac:dyDescent="0.55000000000000004">
      <c r="A182" s="16">
        <v>45044</v>
      </c>
      <c r="B182" s="17" t="s">
        <v>204</v>
      </c>
      <c r="C182" s="18" t="s">
        <v>20</v>
      </c>
      <c r="D182" s="17" t="s">
        <v>21</v>
      </c>
      <c r="E182" s="19">
        <v>749.47</v>
      </c>
      <c r="F182" s="18">
        <f t="shared" si="2"/>
        <v>2023</v>
      </c>
    </row>
    <row r="183" spans="1:6" ht="19.5" x14ac:dyDescent="0.55000000000000004">
      <c r="A183" s="20">
        <v>45045</v>
      </c>
      <c r="B183" s="21" t="s">
        <v>205</v>
      </c>
      <c r="C183" s="22" t="s">
        <v>20</v>
      </c>
      <c r="D183" s="21" t="s">
        <v>21</v>
      </c>
      <c r="E183" s="23">
        <v>969.97</v>
      </c>
      <c r="F183" s="22">
        <f t="shared" si="2"/>
        <v>2023</v>
      </c>
    </row>
    <row r="184" spans="1:6" ht="19.5" x14ac:dyDescent="0.55000000000000004">
      <c r="A184" s="16">
        <v>45046</v>
      </c>
      <c r="B184" s="17" t="s">
        <v>206</v>
      </c>
      <c r="C184" s="18" t="s">
        <v>20</v>
      </c>
      <c r="D184" s="17" t="s">
        <v>21</v>
      </c>
      <c r="E184" s="19">
        <v>1070.08</v>
      </c>
      <c r="F184" s="18">
        <f t="shared" si="2"/>
        <v>2023</v>
      </c>
    </row>
    <row r="185" spans="1:6" ht="19.5" x14ac:dyDescent="0.55000000000000004">
      <c r="A185" s="20">
        <v>45047</v>
      </c>
      <c r="B185" s="21" t="s">
        <v>207</v>
      </c>
      <c r="C185" s="22" t="s">
        <v>20</v>
      </c>
      <c r="D185" s="21" t="s">
        <v>21</v>
      </c>
      <c r="E185" s="23">
        <v>210.43</v>
      </c>
      <c r="F185" s="22">
        <f t="shared" si="2"/>
        <v>2023</v>
      </c>
    </row>
    <row r="186" spans="1:6" ht="19.5" x14ac:dyDescent="0.55000000000000004">
      <c r="A186" s="16">
        <v>45048</v>
      </c>
      <c r="B186" s="17" t="s">
        <v>208</v>
      </c>
      <c r="C186" s="18" t="s">
        <v>20</v>
      </c>
      <c r="D186" s="17" t="s">
        <v>21</v>
      </c>
      <c r="E186" s="19">
        <v>1500</v>
      </c>
      <c r="F186" s="18">
        <f t="shared" si="2"/>
        <v>2023</v>
      </c>
    </row>
    <row r="187" spans="1:6" ht="19.5" x14ac:dyDescent="0.55000000000000004">
      <c r="A187" s="20">
        <v>45048</v>
      </c>
      <c r="B187" s="21" t="s">
        <v>209</v>
      </c>
      <c r="C187" s="22" t="s">
        <v>20</v>
      </c>
      <c r="D187" s="21" t="s">
        <v>21</v>
      </c>
      <c r="E187" s="23">
        <v>1500</v>
      </c>
      <c r="F187" s="22">
        <f t="shared" si="2"/>
        <v>2023</v>
      </c>
    </row>
    <row r="188" spans="1:6" ht="19.5" x14ac:dyDescent="0.55000000000000004">
      <c r="A188" s="16">
        <v>45049</v>
      </c>
      <c r="B188" s="17" t="s">
        <v>210</v>
      </c>
      <c r="C188" s="18" t="s">
        <v>20</v>
      </c>
      <c r="D188" s="17" t="s">
        <v>21</v>
      </c>
      <c r="E188" s="19">
        <v>623.37</v>
      </c>
      <c r="F188" s="18">
        <f t="shared" si="2"/>
        <v>2023</v>
      </c>
    </row>
    <row r="189" spans="1:6" ht="19.5" x14ac:dyDescent="0.55000000000000004">
      <c r="A189" s="20">
        <v>45050</v>
      </c>
      <c r="B189" s="21" t="s">
        <v>211</v>
      </c>
      <c r="C189" s="22" t="s">
        <v>20</v>
      </c>
      <c r="D189" s="21" t="s">
        <v>21</v>
      </c>
      <c r="E189" s="23">
        <v>979.72</v>
      </c>
      <c r="F189" s="22">
        <f t="shared" si="2"/>
        <v>2023</v>
      </c>
    </row>
    <row r="190" spans="1:6" ht="19.5" x14ac:dyDescent="0.55000000000000004">
      <c r="A190" s="16">
        <v>45051</v>
      </c>
      <c r="B190" s="17" t="s">
        <v>212</v>
      </c>
      <c r="C190" s="18" t="s">
        <v>20</v>
      </c>
      <c r="D190" s="17" t="s">
        <v>21</v>
      </c>
      <c r="E190" s="19">
        <v>1053</v>
      </c>
      <c r="F190" s="18">
        <f t="shared" si="2"/>
        <v>2023</v>
      </c>
    </row>
    <row r="191" spans="1:6" ht="19.5" x14ac:dyDescent="0.55000000000000004">
      <c r="A191" s="20">
        <v>45052</v>
      </c>
      <c r="B191" s="21" t="s">
        <v>213</v>
      </c>
      <c r="C191" s="22" t="s">
        <v>20</v>
      </c>
      <c r="D191" s="21" t="s">
        <v>21</v>
      </c>
      <c r="E191" s="23">
        <v>5000</v>
      </c>
      <c r="F191" s="22">
        <f t="shared" si="2"/>
        <v>2023</v>
      </c>
    </row>
    <row r="192" spans="1:6" ht="19.5" x14ac:dyDescent="0.55000000000000004">
      <c r="A192" s="16">
        <v>45052</v>
      </c>
      <c r="B192" s="17" t="s">
        <v>214</v>
      </c>
      <c r="C192" s="18" t="s">
        <v>20</v>
      </c>
      <c r="D192" s="17" t="s">
        <v>21</v>
      </c>
      <c r="E192" s="19">
        <v>5000</v>
      </c>
      <c r="F192" s="18">
        <f t="shared" si="2"/>
        <v>2023</v>
      </c>
    </row>
    <row r="193" spans="1:6" ht="19.5" x14ac:dyDescent="0.55000000000000004">
      <c r="A193" s="20">
        <v>45052</v>
      </c>
      <c r="B193" s="21" t="s">
        <v>215</v>
      </c>
      <c r="C193" s="22" t="s">
        <v>20</v>
      </c>
      <c r="D193" s="21" t="s">
        <v>21</v>
      </c>
      <c r="E193" s="23">
        <v>343.4</v>
      </c>
      <c r="F193" s="22">
        <f t="shared" si="2"/>
        <v>2023</v>
      </c>
    </row>
    <row r="194" spans="1:6" ht="19.5" x14ac:dyDescent="0.55000000000000004">
      <c r="A194" s="16">
        <v>45053</v>
      </c>
      <c r="B194" s="17" t="s">
        <v>216</v>
      </c>
      <c r="C194" s="18" t="s">
        <v>20</v>
      </c>
      <c r="D194" s="17" t="s">
        <v>21</v>
      </c>
      <c r="E194" s="19">
        <v>428.02</v>
      </c>
      <c r="F194" s="18">
        <f t="shared" ref="F194:F257" si="3">YEAR(A194)</f>
        <v>2023</v>
      </c>
    </row>
    <row r="195" spans="1:6" ht="19.5" x14ac:dyDescent="0.55000000000000004">
      <c r="A195" s="20">
        <v>45054</v>
      </c>
      <c r="B195" s="21" t="s">
        <v>217</v>
      </c>
      <c r="C195" s="22" t="s">
        <v>20</v>
      </c>
      <c r="D195" s="21" t="s">
        <v>21</v>
      </c>
      <c r="E195" s="23">
        <v>1038.31</v>
      </c>
      <c r="F195" s="22">
        <f t="shared" si="3"/>
        <v>2023</v>
      </c>
    </row>
    <row r="196" spans="1:6" ht="19.5" x14ac:dyDescent="0.55000000000000004">
      <c r="A196" s="16">
        <v>45055</v>
      </c>
      <c r="B196" s="17" t="s">
        <v>218</v>
      </c>
      <c r="C196" s="18" t="s">
        <v>20</v>
      </c>
      <c r="D196" s="17" t="s">
        <v>21</v>
      </c>
      <c r="E196" s="19">
        <v>1008.25</v>
      </c>
      <c r="F196" s="18">
        <f t="shared" si="3"/>
        <v>2023</v>
      </c>
    </row>
    <row r="197" spans="1:6" ht="19.5" x14ac:dyDescent="0.55000000000000004">
      <c r="A197" s="20">
        <v>45056</v>
      </c>
      <c r="B197" s="21" t="s">
        <v>219</v>
      </c>
      <c r="C197" s="22" t="s">
        <v>20</v>
      </c>
      <c r="D197" s="21" t="s">
        <v>21</v>
      </c>
      <c r="E197" s="23">
        <v>1047.94</v>
      </c>
      <c r="F197" s="22">
        <f t="shared" si="3"/>
        <v>2023</v>
      </c>
    </row>
    <row r="198" spans="1:6" ht="19.5" x14ac:dyDescent="0.55000000000000004">
      <c r="A198" s="16">
        <v>45056</v>
      </c>
      <c r="B198" s="17" t="s">
        <v>220</v>
      </c>
      <c r="C198" s="18" t="s">
        <v>20</v>
      </c>
      <c r="D198" s="17" t="s">
        <v>21</v>
      </c>
      <c r="E198" s="19">
        <v>5000</v>
      </c>
      <c r="F198" s="18">
        <f t="shared" si="3"/>
        <v>2023</v>
      </c>
    </row>
    <row r="199" spans="1:6" ht="19.5" x14ac:dyDescent="0.55000000000000004">
      <c r="A199" s="20">
        <v>45057</v>
      </c>
      <c r="B199" s="21" t="s">
        <v>221</v>
      </c>
      <c r="C199" s="22" t="s">
        <v>20</v>
      </c>
      <c r="D199" s="21" t="s">
        <v>21</v>
      </c>
      <c r="E199" s="23">
        <v>1476.48</v>
      </c>
      <c r="F199" s="22">
        <f t="shared" si="3"/>
        <v>2023</v>
      </c>
    </row>
    <row r="200" spans="1:6" ht="19.5" x14ac:dyDescent="0.55000000000000004">
      <c r="A200" s="16">
        <v>45058</v>
      </c>
      <c r="B200" s="17" t="s">
        <v>222</v>
      </c>
      <c r="C200" s="18" t="s">
        <v>20</v>
      </c>
      <c r="D200" s="17" t="s">
        <v>21</v>
      </c>
      <c r="E200" s="19">
        <v>1560.15</v>
      </c>
      <c r="F200" s="18">
        <f t="shared" si="3"/>
        <v>2023</v>
      </c>
    </row>
    <row r="201" spans="1:6" ht="19.5" x14ac:dyDescent="0.55000000000000004">
      <c r="A201" s="20">
        <v>45059</v>
      </c>
      <c r="B201" s="21" t="s">
        <v>223</v>
      </c>
      <c r="C201" s="22" t="s">
        <v>20</v>
      </c>
      <c r="D201" s="21" t="s">
        <v>21</v>
      </c>
      <c r="E201" s="23">
        <v>1465.61</v>
      </c>
      <c r="F201" s="22">
        <f t="shared" si="3"/>
        <v>2023</v>
      </c>
    </row>
    <row r="202" spans="1:6" ht="19.5" x14ac:dyDescent="0.55000000000000004">
      <c r="A202" s="16">
        <v>45059</v>
      </c>
      <c r="B202" s="17" t="s">
        <v>224</v>
      </c>
      <c r="C202" s="18" t="s">
        <v>119</v>
      </c>
      <c r="D202" s="17" t="s">
        <v>21</v>
      </c>
      <c r="E202" s="19">
        <v>-486.9</v>
      </c>
      <c r="F202" s="18">
        <f t="shared" si="3"/>
        <v>2023</v>
      </c>
    </row>
    <row r="203" spans="1:6" ht="19.5" x14ac:dyDescent="0.55000000000000004">
      <c r="A203" s="20">
        <v>45059</v>
      </c>
      <c r="B203" s="21" t="s">
        <v>225</v>
      </c>
      <c r="C203" s="22" t="s">
        <v>119</v>
      </c>
      <c r="D203" s="21" t="s">
        <v>21</v>
      </c>
      <c r="E203" s="23">
        <v>-117.38</v>
      </c>
      <c r="F203" s="22">
        <f t="shared" si="3"/>
        <v>2023</v>
      </c>
    </row>
    <row r="204" spans="1:6" ht="19.5" x14ac:dyDescent="0.55000000000000004">
      <c r="A204" s="16">
        <v>45060</v>
      </c>
      <c r="B204" s="17" t="s">
        <v>226</v>
      </c>
      <c r="C204" s="18" t="s">
        <v>20</v>
      </c>
      <c r="D204" s="17" t="s">
        <v>21</v>
      </c>
      <c r="E204" s="19">
        <v>881.76</v>
      </c>
      <c r="F204" s="18">
        <f t="shared" si="3"/>
        <v>2023</v>
      </c>
    </row>
    <row r="205" spans="1:6" ht="19.5" x14ac:dyDescent="0.55000000000000004">
      <c r="A205" s="20">
        <v>45061</v>
      </c>
      <c r="B205" s="21" t="s">
        <v>227</v>
      </c>
      <c r="C205" s="22" t="s">
        <v>20</v>
      </c>
      <c r="D205" s="21" t="s">
        <v>21</v>
      </c>
      <c r="E205" s="23">
        <v>1555.7</v>
      </c>
      <c r="F205" s="22">
        <f t="shared" si="3"/>
        <v>2023</v>
      </c>
    </row>
    <row r="206" spans="1:6" ht="19.5" x14ac:dyDescent="0.55000000000000004">
      <c r="A206" s="16">
        <v>45062</v>
      </c>
      <c r="B206" s="17" t="s">
        <v>228</v>
      </c>
      <c r="C206" s="18" t="s">
        <v>20</v>
      </c>
      <c r="D206" s="17" t="s">
        <v>21</v>
      </c>
      <c r="E206" s="19">
        <v>1441.35</v>
      </c>
      <c r="F206" s="18">
        <f t="shared" si="3"/>
        <v>2023</v>
      </c>
    </row>
    <row r="207" spans="1:6" ht="19.5" x14ac:dyDescent="0.55000000000000004">
      <c r="A207" s="20">
        <v>45063</v>
      </c>
      <c r="B207" s="21" t="s">
        <v>229</v>
      </c>
      <c r="C207" s="22" t="s">
        <v>20</v>
      </c>
      <c r="D207" s="21" t="s">
        <v>21</v>
      </c>
      <c r="E207" s="23">
        <v>1007.67</v>
      </c>
      <c r="F207" s="22">
        <f t="shared" si="3"/>
        <v>2023</v>
      </c>
    </row>
    <row r="208" spans="1:6" ht="19.5" x14ac:dyDescent="0.55000000000000004">
      <c r="A208" s="16">
        <v>45064</v>
      </c>
      <c r="B208" s="17" t="s">
        <v>230</v>
      </c>
      <c r="C208" s="18" t="s">
        <v>20</v>
      </c>
      <c r="D208" s="17" t="s">
        <v>21</v>
      </c>
      <c r="E208" s="19">
        <v>3000</v>
      </c>
      <c r="F208" s="18">
        <f t="shared" si="3"/>
        <v>2023</v>
      </c>
    </row>
    <row r="209" spans="1:6" ht="19.5" x14ac:dyDescent="0.55000000000000004">
      <c r="A209" s="20">
        <v>45064</v>
      </c>
      <c r="B209" s="21" t="s">
        <v>231</v>
      </c>
      <c r="C209" s="22" t="s">
        <v>20</v>
      </c>
      <c r="D209" s="21" t="s">
        <v>21</v>
      </c>
      <c r="E209" s="23">
        <v>497.6</v>
      </c>
      <c r="F209" s="22">
        <f t="shared" si="3"/>
        <v>2023</v>
      </c>
    </row>
    <row r="210" spans="1:6" ht="19.5" x14ac:dyDescent="0.55000000000000004">
      <c r="A210" s="16">
        <v>45064</v>
      </c>
      <c r="B210" s="17" t="s">
        <v>232</v>
      </c>
      <c r="C210" s="18" t="s">
        <v>20</v>
      </c>
      <c r="D210" s="17" t="s">
        <v>21</v>
      </c>
      <c r="E210" s="19">
        <v>3000</v>
      </c>
      <c r="F210" s="18">
        <f t="shared" si="3"/>
        <v>2023</v>
      </c>
    </row>
    <row r="211" spans="1:6" ht="19.5" x14ac:dyDescent="0.55000000000000004">
      <c r="A211" s="20">
        <v>45065</v>
      </c>
      <c r="B211" s="21" t="s">
        <v>233</v>
      </c>
      <c r="C211" s="22" t="s">
        <v>20</v>
      </c>
      <c r="D211" s="21" t="s">
        <v>21</v>
      </c>
      <c r="E211" s="23">
        <v>872.2</v>
      </c>
      <c r="F211" s="22">
        <f t="shared" si="3"/>
        <v>2023</v>
      </c>
    </row>
    <row r="212" spans="1:6" ht="19.5" x14ac:dyDescent="0.55000000000000004">
      <c r="A212" s="16">
        <v>45066</v>
      </c>
      <c r="B212" s="17" t="s">
        <v>234</v>
      </c>
      <c r="C212" s="18" t="s">
        <v>20</v>
      </c>
      <c r="D212" s="17" t="s">
        <v>21</v>
      </c>
      <c r="E212" s="19">
        <v>1525.11</v>
      </c>
      <c r="F212" s="18">
        <f t="shared" si="3"/>
        <v>2023</v>
      </c>
    </row>
    <row r="213" spans="1:6" ht="19.5" x14ac:dyDescent="0.55000000000000004">
      <c r="A213" s="20">
        <v>45067</v>
      </c>
      <c r="B213" s="21" t="s">
        <v>235</v>
      </c>
      <c r="C213" s="22" t="s">
        <v>20</v>
      </c>
      <c r="D213" s="21" t="s">
        <v>21</v>
      </c>
      <c r="E213" s="23">
        <v>974.3</v>
      </c>
      <c r="F213" s="22">
        <f t="shared" si="3"/>
        <v>2023</v>
      </c>
    </row>
    <row r="214" spans="1:6" ht="19.5" x14ac:dyDescent="0.55000000000000004">
      <c r="A214" s="16">
        <v>45068</v>
      </c>
      <c r="B214" s="17" t="s">
        <v>236</v>
      </c>
      <c r="C214" s="18" t="s">
        <v>20</v>
      </c>
      <c r="D214" s="17" t="s">
        <v>21</v>
      </c>
      <c r="E214" s="19">
        <v>1109.9000000000001</v>
      </c>
      <c r="F214" s="18">
        <f t="shared" si="3"/>
        <v>2023</v>
      </c>
    </row>
    <row r="215" spans="1:6" ht="19.5" x14ac:dyDescent="0.55000000000000004">
      <c r="A215" s="20">
        <v>45069</v>
      </c>
      <c r="B215" s="21" t="s">
        <v>237</v>
      </c>
      <c r="C215" s="22" t="s">
        <v>20</v>
      </c>
      <c r="D215" s="21" t="s">
        <v>21</v>
      </c>
      <c r="E215" s="23">
        <v>1074.1400000000001</v>
      </c>
      <c r="F215" s="22">
        <f t="shared" si="3"/>
        <v>2023</v>
      </c>
    </row>
    <row r="216" spans="1:6" ht="19.5" x14ac:dyDescent="0.55000000000000004">
      <c r="A216" s="16">
        <v>45070</v>
      </c>
      <c r="B216" s="17" t="s">
        <v>238</v>
      </c>
      <c r="C216" s="18" t="s">
        <v>20</v>
      </c>
      <c r="D216" s="17" t="s">
        <v>21</v>
      </c>
      <c r="E216" s="19">
        <v>1160.77</v>
      </c>
      <c r="F216" s="18">
        <f t="shared" si="3"/>
        <v>2023</v>
      </c>
    </row>
    <row r="217" spans="1:6" ht="19.5" x14ac:dyDescent="0.55000000000000004">
      <c r="A217" s="20">
        <v>45071</v>
      </c>
      <c r="B217" s="21" t="s">
        <v>239</v>
      </c>
      <c r="C217" s="22" t="s">
        <v>20</v>
      </c>
      <c r="D217" s="21" t="s">
        <v>21</v>
      </c>
      <c r="E217" s="23">
        <v>270.27999999999997</v>
      </c>
      <c r="F217" s="22">
        <f t="shared" si="3"/>
        <v>2023</v>
      </c>
    </row>
    <row r="218" spans="1:6" ht="19.5" x14ac:dyDescent="0.55000000000000004">
      <c r="A218" s="16">
        <v>45072</v>
      </c>
      <c r="B218" s="17" t="s">
        <v>240</v>
      </c>
      <c r="C218" s="18" t="s">
        <v>20</v>
      </c>
      <c r="D218" s="17" t="s">
        <v>21</v>
      </c>
      <c r="E218" s="19">
        <v>2000</v>
      </c>
      <c r="F218" s="18">
        <f t="shared" si="3"/>
        <v>2023</v>
      </c>
    </row>
    <row r="219" spans="1:6" ht="19.5" x14ac:dyDescent="0.55000000000000004">
      <c r="A219" s="20">
        <v>45072</v>
      </c>
      <c r="B219" s="21" t="s">
        <v>241</v>
      </c>
      <c r="C219" s="22" t="s">
        <v>20</v>
      </c>
      <c r="D219" s="21" t="s">
        <v>21</v>
      </c>
      <c r="E219" s="23">
        <v>2000</v>
      </c>
      <c r="F219" s="22">
        <f t="shared" si="3"/>
        <v>2023</v>
      </c>
    </row>
    <row r="220" spans="1:6" ht="19.5" x14ac:dyDescent="0.55000000000000004">
      <c r="A220" s="16">
        <v>45073</v>
      </c>
      <c r="B220" s="17" t="s">
        <v>242</v>
      </c>
      <c r="C220" s="18" t="s">
        <v>20</v>
      </c>
      <c r="D220" s="17" t="s">
        <v>21</v>
      </c>
      <c r="E220" s="19">
        <v>325.94</v>
      </c>
      <c r="F220" s="18">
        <f t="shared" si="3"/>
        <v>2023</v>
      </c>
    </row>
    <row r="221" spans="1:6" ht="19.5" x14ac:dyDescent="0.55000000000000004">
      <c r="A221" s="20">
        <v>45074</v>
      </c>
      <c r="B221" s="21" t="s">
        <v>243</v>
      </c>
      <c r="C221" s="22" t="s">
        <v>20</v>
      </c>
      <c r="D221" s="21" t="s">
        <v>21</v>
      </c>
      <c r="E221" s="23">
        <v>1158.6500000000001</v>
      </c>
      <c r="F221" s="22">
        <f t="shared" si="3"/>
        <v>2023</v>
      </c>
    </row>
    <row r="222" spans="1:6" ht="19.5" x14ac:dyDescent="0.55000000000000004">
      <c r="A222" s="16">
        <v>45075</v>
      </c>
      <c r="B222" s="17" t="s">
        <v>244</v>
      </c>
      <c r="C222" s="18" t="s">
        <v>20</v>
      </c>
      <c r="D222" s="17" t="s">
        <v>21</v>
      </c>
      <c r="E222" s="19">
        <v>1140.8800000000001</v>
      </c>
      <c r="F222" s="18">
        <f t="shared" si="3"/>
        <v>2023</v>
      </c>
    </row>
    <row r="223" spans="1:6" ht="19.5" x14ac:dyDescent="0.55000000000000004">
      <c r="A223" s="20">
        <v>45076</v>
      </c>
      <c r="B223" s="21" t="s">
        <v>245</v>
      </c>
      <c r="C223" s="22" t="s">
        <v>20</v>
      </c>
      <c r="D223" s="21" t="s">
        <v>21</v>
      </c>
      <c r="E223" s="23">
        <v>1165.24</v>
      </c>
      <c r="F223" s="22">
        <f t="shared" si="3"/>
        <v>2023</v>
      </c>
    </row>
    <row r="224" spans="1:6" ht="19.5" x14ac:dyDescent="0.55000000000000004">
      <c r="A224" s="16">
        <v>45077</v>
      </c>
      <c r="B224" s="17" t="s">
        <v>246</v>
      </c>
      <c r="C224" s="18" t="s">
        <v>20</v>
      </c>
      <c r="D224" s="17" t="s">
        <v>21</v>
      </c>
      <c r="E224" s="19">
        <v>2000</v>
      </c>
      <c r="F224" s="18">
        <f t="shared" si="3"/>
        <v>2023</v>
      </c>
    </row>
    <row r="225" spans="1:6" ht="19.5" x14ac:dyDescent="0.55000000000000004">
      <c r="A225" s="20">
        <v>45077</v>
      </c>
      <c r="B225" s="21" t="s">
        <v>247</v>
      </c>
      <c r="C225" s="22" t="s">
        <v>20</v>
      </c>
      <c r="D225" s="21" t="s">
        <v>21</v>
      </c>
      <c r="E225" s="23">
        <v>209.29</v>
      </c>
      <c r="F225" s="22">
        <f t="shared" si="3"/>
        <v>2023</v>
      </c>
    </row>
    <row r="226" spans="1:6" ht="19.5" x14ac:dyDescent="0.55000000000000004">
      <c r="A226" s="16">
        <v>45077</v>
      </c>
      <c r="B226" s="17" t="s">
        <v>248</v>
      </c>
      <c r="C226" s="18" t="s">
        <v>20</v>
      </c>
      <c r="D226" s="17" t="s">
        <v>21</v>
      </c>
      <c r="E226" s="19">
        <v>2000</v>
      </c>
      <c r="F226" s="18">
        <f t="shared" si="3"/>
        <v>2023</v>
      </c>
    </row>
    <row r="227" spans="1:6" ht="19.5" x14ac:dyDescent="0.55000000000000004">
      <c r="A227" s="20">
        <v>45078</v>
      </c>
      <c r="B227" s="21" t="s">
        <v>249</v>
      </c>
      <c r="C227" s="22" t="s">
        <v>20</v>
      </c>
      <c r="D227" s="21" t="s">
        <v>21</v>
      </c>
      <c r="E227" s="23">
        <v>729.52</v>
      </c>
      <c r="F227" s="22">
        <f t="shared" si="3"/>
        <v>2023</v>
      </c>
    </row>
    <row r="228" spans="1:6" ht="19.5" x14ac:dyDescent="0.55000000000000004">
      <c r="A228" s="16">
        <v>45079</v>
      </c>
      <c r="B228" s="17" t="s">
        <v>250</v>
      </c>
      <c r="C228" s="18" t="s">
        <v>20</v>
      </c>
      <c r="D228" s="17" t="s">
        <v>21</v>
      </c>
      <c r="E228" s="19">
        <v>1060.8</v>
      </c>
      <c r="F228" s="18">
        <f t="shared" si="3"/>
        <v>2023</v>
      </c>
    </row>
    <row r="229" spans="1:6" ht="19.5" x14ac:dyDescent="0.55000000000000004">
      <c r="A229" s="20">
        <v>45080</v>
      </c>
      <c r="B229" s="21" t="s">
        <v>251</v>
      </c>
      <c r="C229" s="22" t="s">
        <v>20</v>
      </c>
      <c r="D229" s="21" t="s">
        <v>21</v>
      </c>
      <c r="E229" s="23">
        <v>1050.23</v>
      </c>
      <c r="F229" s="22">
        <f t="shared" si="3"/>
        <v>2023</v>
      </c>
    </row>
    <row r="230" spans="1:6" ht="19.5" x14ac:dyDescent="0.55000000000000004">
      <c r="A230" s="16">
        <v>45081</v>
      </c>
      <c r="B230" s="17" t="s">
        <v>252</v>
      </c>
      <c r="C230" s="18" t="s">
        <v>20</v>
      </c>
      <c r="D230" s="17" t="s">
        <v>21</v>
      </c>
      <c r="E230" s="19">
        <v>1035.57</v>
      </c>
      <c r="F230" s="18">
        <f t="shared" si="3"/>
        <v>2023</v>
      </c>
    </row>
    <row r="231" spans="1:6" ht="19.5" x14ac:dyDescent="0.55000000000000004">
      <c r="A231" s="20">
        <v>45082</v>
      </c>
      <c r="B231" s="21" t="s">
        <v>253</v>
      </c>
      <c r="C231" s="22" t="s">
        <v>20</v>
      </c>
      <c r="D231" s="21" t="s">
        <v>21</v>
      </c>
      <c r="E231" s="23">
        <v>627.34</v>
      </c>
      <c r="F231" s="22">
        <f t="shared" si="3"/>
        <v>2023</v>
      </c>
    </row>
    <row r="232" spans="1:6" ht="19.5" x14ac:dyDescent="0.55000000000000004">
      <c r="A232" s="16">
        <v>45083</v>
      </c>
      <c r="B232" s="17" t="s">
        <v>254</v>
      </c>
      <c r="C232" s="18" t="s">
        <v>20</v>
      </c>
      <c r="D232" s="17" t="s">
        <v>21</v>
      </c>
      <c r="E232" s="19">
        <v>101.37</v>
      </c>
      <c r="F232" s="18">
        <f t="shared" si="3"/>
        <v>2023</v>
      </c>
    </row>
    <row r="233" spans="1:6" ht="19.5" x14ac:dyDescent="0.55000000000000004">
      <c r="A233" s="20">
        <v>45084</v>
      </c>
      <c r="B233" s="21" t="s">
        <v>255</v>
      </c>
      <c r="C233" s="22" t="s">
        <v>20</v>
      </c>
      <c r="D233" s="21" t="s">
        <v>21</v>
      </c>
      <c r="E233" s="23">
        <v>2500</v>
      </c>
      <c r="F233" s="22">
        <f t="shared" si="3"/>
        <v>2023</v>
      </c>
    </row>
    <row r="234" spans="1:6" ht="19.5" x14ac:dyDescent="0.55000000000000004">
      <c r="A234" s="16">
        <v>45084</v>
      </c>
      <c r="B234" s="17" t="s">
        <v>256</v>
      </c>
      <c r="C234" s="18" t="s">
        <v>20</v>
      </c>
      <c r="D234" s="17" t="s">
        <v>21</v>
      </c>
      <c r="E234" s="19">
        <v>2500</v>
      </c>
      <c r="F234" s="18">
        <f t="shared" si="3"/>
        <v>2023</v>
      </c>
    </row>
    <row r="235" spans="1:6" ht="19.5" x14ac:dyDescent="0.55000000000000004">
      <c r="A235" s="20">
        <v>45085</v>
      </c>
      <c r="B235" s="21" t="s">
        <v>257</v>
      </c>
      <c r="C235" s="22" t="s">
        <v>20</v>
      </c>
      <c r="D235" s="21" t="s">
        <v>21</v>
      </c>
      <c r="E235" s="23">
        <v>695.16</v>
      </c>
      <c r="F235" s="22">
        <f t="shared" si="3"/>
        <v>2023</v>
      </c>
    </row>
    <row r="236" spans="1:6" ht="19.5" x14ac:dyDescent="0.55000000000000004">
      <c r="A236" s="16">
        <v>45086</v>
      </c>
      <c r="B236" s="17" t="s">
        <v>258</v>
      </c>
      <c r="C236" s="18" t="s">
        <v>20</v>
      </c>
      <c r="D236" s="17" t="s">
        <v>21</v>
      </c>
      <c r="E236" s="19">
        <v>1046.27</v>
      </c>
      <c r="F236" s="18">
        <f t="shared" si="3"/>
        <v>2023</v>
      </c>
    </row>
    <row r="237" spans="1:6" ht="19.5" x14ac:dyDescent="0.55000000000000004">
      <c r="A237" s="20">
        <v>45087</v>
      </c>
      <c r="B237" s="21" t="s">
        <v>259</v>
      </c>
      <c r="C237" s="22" t="s">
        <v>20</v>
      </c>
      <c r="D237" s="21" t="s">
        <v>21</v>
      </c>
      <c r="E237" s="23">
        <v>1019.79</v>
      </c>
      <c r="F237" s="22">
        <f t="shared" si="3"/>
        <v>2023</v>
      </c>
    </row>
    <row r="238" spans="1:6" ht="19.5" x14ac:dyDescent="0.55000000000000004">
      <c r="A238" s="16">
        <v>45088</v>
      </c>
      <c r="B238" s="17" t="s">
        <v>260</v>
      </c>
      <c r="C238" s="18" t="s">
        <v>20</v>
      </c>
      <c r="D238" s="17" t="s">
        <v>21</v>
      </c>
      <c r="E238" s="19">
        <v>1006.87</v>
      </c>
      <c r="F238" s="18">
        <f t="shared" si="3"/>
        <v>2023</v>
      </c>
    </row>
    <row r="239" spans="1:6" ht="19.5" x14ac:dyDescent="0.55000000000000004">
      <c r="A239" s="20">
        <v>45089</v>
      </c>
      <c r="B239" s="21" t="s">
        <v>261</v>
      </c>
      <c r="C239" s="22" t="s">
        <v>20</v>
      </c>
      <c r="D239" s="21" t="s">
        <v>21</v>
      </c>
      <c r="E239" s="23">
        <v>1044.01</v>
      </c>
      <c r="F239" s="22">
        <f t="shared" si="3"/>
        <v>2023</v>
      </c>
    </row>
    <row r="240" spans="1:6" ht="19.5" x14ac:dyDescent="0.55000000000000004">
      <c r="A240" s="16">
        <v>45090</v>
      </c>
      <c r="B240" s="17" t="s">
        <v>262</v>
      </c>
      <c r="C240" s="18" t="s">
        <v>20</v>
      </c>
      <c r="D240" s="17" t="s">
        <v>21</v>
      </c>
      <c r="E240" s="19">
        <v>187.9</v>
      </c>
      <c r="F240" s="18">
        <f t="shared" si="3"/>
        <v>2023</v>
      </c>
    </row>
    <row r="241" spans="1:6" ht="19.5" x14ac:dyDescent="0.55000000000000004">
      <c r="A241" s="20">
        <v>45092</v>
      </c>
      <c r="B241" s="21" t="s">
        <v>263</v>
      </c>
      <c r="C241" s="22" t="s">
        <v>20</v>
      </c>
      <c r="D241" s="21" t="s">
        <v>21</v>
      </c>
      <c r="E241" s="23">
        <v>2500</v>
      </c>
      <c r="F241" s="22">
        <f t="shared" si="3"/>
        <v>2023</v>
      </c>
    </row>
    <row r="242" spans="1:6" ht="19.5" x14ac:dyDescent="0.55000000000000004">
      <c r="A242" s="16">
        <v>45092</v>
      </c>
      <c r="B242" s="17" t="s">
        <v>264</v>
      </c>
      <c r="C242" s="18" t="s">
        <v>20</v>
      </c>
      <c r="D242" s="17" t="s">
        <v>21</v>
      </c>
      <c r="E242" s="19">
        <v>2500</v>
      </c>
      <c r="F242" s="18">
        <f t="shared" si="3"/>
        <v>2023</v>
      </c>
    </row>
    <row r="243" spans="1:6" ht="19.5" x14ac:dyDescent="0.55000000000000004">
      <c r="A243" s="20">
        <v>45093</v>
      </c>
      <c r="B243" s="21" t="s">
        <v>265</v>
      </c>
      <c r="C243" s="22" t="s">
        <v>20</v>
      </c>
      <c r="D243" s="21" t="s">
        <v>21</v>
      </c>
      <c r="E243" s="23">
        <v>605.76</v>
      </c>
      <c r="F243" s="22">
        <f t="shared" si="3"/>
        <v>2023</v>
      </c>
    </row>
    <row r="244" spans="1:6" ht="19.5" x14ac:dyDescent="0.55000000000000004">
      <c r="A244" s="16">
        <v>45094</v>
      </c>
      <c r="B244" s="17" t="s">
        <v>266</v>
      </c>
      <c r="C244" s="18" t="s">
        <v>20</v>
      </c>
      <c r="D244" s="17" t="s">
        <v>21</v>
      </c>
      <c r="E244" s="19">
        <v>1007.9</v>
      </c>
      <c r="F244" s="18">
        <f t="shared" si="3"/>
        <v>2023</v>
      </c>
    </row>
    <row r="245" spans="1:6" ht="19.5" x14ac:dyDescent="0.55000000000000004">
      <c r="A245" s="20">
        <v>45095</v>
      </c>
      <c r="B245" s="21" t="s">
        <v>267</v>
      </c>
      <c r="C245" s="22" t="s">
        <v>20</v>
      </c>
      <c r="D245" s="21" t="s">
        <v>21</v>
      </c>
      <c r="E245" s="23">
        <v>1059.45</v>
      </c>
      <c r="F245" s="22">
        <f t="shared" si="3"/>
        <v>2023</v>
      </c>
    </row>
    <row r="246" spans="1:6" ht="19.5" x14ac:dyDescent="0.55000000000000004">
      <c r="A246" s="16">
        <v>45096</v>
      </c>
      <c r="B246" s="17" t="s">
        <v>268</v>
      </c>
      <c r="C246" s="18" t="s">
        <v>20</v>
      </c>
      <c r="D246" s="17" t="s">
        <v>21</v>
      </c>
      <c r="E246" s="19">
        <v>1039.04</v>
      </c>
      <c r="F246" s="18">
        <f t="shared" si="3"/>
        <v>2023</v>
      </c>
    </row>
    <row r="247" spans="1:6" ht="19.5" x14ac:dyDescent="0.55000000000000004">
      <c r="A247" s="20">
        <v>45097</v>
      </c>
      <c r="B247" s="21" t="s">
        <v>269</v>
      </c>
      <c r="C247" s="22" t="s">
        <v>20</v>
      </c>
      <c r="D247" s="21" t="s">
        <v>21</v>
      </c>
      <c r="E247" s="23">
        <v>1034.92</v>
      </c>
      <c r="F247" s="22">
        <f t="shared" si="3"/>
        <v>2023</v>
      </c>
    </row>
    <row r="248" spans="1:6" ht="19.5" x14ac:dyDescent="0.55000000000000004">
      <c r="A248" s="16">
        <v>45098</v>
      </c>
      <c r="B248" s="17" t="s">
        <v>270</v>
      </c>
      <c r="C248" s="18" t="s">
        <v>20</v>
      </c>
      <c r="D248" s="17" t="s">
        <v>21</v>
      </c>
      <c r="E248" s="19">
        <v>244.87</v>
      </c>
      <c r="F248" s="18">
        <f t="shared" si="3"/>
        <v>2023</v>
      </c>
    </row>
    <row r="249" spans="1:6" ht="19.5" x14ac:dyDescent="0.55000000000000004">
      <c r="A249" s="20">
        <v>45098</v>
      </c>
      <c r="B249" s="21" t="s">
        <v>271</v>
      </c>
      <c r="C249" s="22" t="s">
        <v>20</v>
      </c>
      <c r="D249" s="21" t="s">
        <v>21</v>
      </c>
      <c r="E249" s="23">
        <v>2500</v>
      </c>
      <c r="F249" s="22">
        <f t="shared" si="3"/>
        <v>2023</v>
      </c>
    </row>
    <row r="250" spans="1:6" ht="19.5" x14ac:dyDescent="0.55000000000000004">
      <c r="A250" s="16">
        <v>45099</v>
      </c>
      <c r="B250" s="17" t="s">
        <v>272</v>
      </c>
      <c r="C250" s="18" t="s">
        <v>20</v>
      </c>
      <c r="D250" s="17" t="s">
        <v>21</v>
      </c>
      <c r="E250" s="19">
        <v>172.69</v>
      </c>
      <c r="F250" s="18">
        <f t="shared" si="3"/>
        <v>2023</v>
      </c>
    </row>
    <row r="251" spans="1:6" ht="19.5" x14ac:dyDescent="0.55000000000000004">
      <c r="A251" s="20">
        <v>45099</v>
      </c>
      <c r="B251" s="21" t="s">
        <v>273</v>
      </c>
      <c r="C251" s="22" t="s">
        <v>20</v>
      </c>
      <c r="D251" s="21" t="s">
        <v>21</v>
      </c>
      <c r="E251" s="23">
        <v>2500</v>
      </c>
      <c r="F251" s="22">
        <f t="shared" si="3"/>
        <v>2023</v>
      </c>
    </row>
    <row r="252" spans="1:6" ht="19.5" x14ac:dyDescent="0.55000000000000004">
      <c r="A252" s="16">
        <v>45100</v>
      </c>
      <c r="B252" s="17" t="s">
        <v>274</v>
      </c>
      <c r="C252" s="18" t="s">
        <v>20</v>
      </c>
      <c r="D252" s="17" t="s">
        <v>21</v>
      </c>
      <c r="E252" s="19">
        <v>848.56</v>
      </c>
      <c r="F252" s="18">
        <f t="shared" si="3"/>
        <v>2023</v>
      </c>
    </row>
    <row r="253" spans="1:6" ht="19.5" x14ac:dyDescent="0.55000000000000004">
      <c r="A253" s="20">
        <v>45101</v>
      </c>
      <c r="B253" s="21" t="s">
        <v>275</v>
      </c>
      <c r="C253" s="22" t="s">
        <v>20</v>
      </c>
      <c r="D253" s="21" t="s">
        <v>21</v>
      </c>
      <c r="E253" s="23">
        <v>1003.35</v>
      </c>
      <c r="F253" s="22">
        <f t="shared" si="3"/>
        <v>2023</v>
      </c>
    </row>
    <row r="254" spans="1:6" ht="19.5" x14ac:dyDescent="0.55000000000000004">
      <c r="A254" s="16">
        <v>45102</v>
      </c>
      <c r="B254" s="17" t="s">
        <v>276</v>
      </c>
      <c r="C254" s="18" t="s">
        <v>20</v>
      </c>
      <c r="D254" s="17" t="s">
        <v>21</v>
      </c>
      <c r="E254" s="19">
        <v>1065.6500000000001</v>
      </c>
      <c r="F254" s="18">
        <f t="shared" si="3"/>
        <v>2023</v>
      </c>
    </row>
    <row r="255" spans="1:6" ht="19.5" x14ac:dyDescent="0.55000000000000004">
      <c r="A255" s="20">
        <v>45103</v>
      </c>
      <c r="B255" s="21" t="s">
        <v>277</v>
      </c>
      <c r="C255" s="22" t="s">
        <v>20</v>
      </c>
      <c r="D255" s="21" t="s">
        <v>21</v>
      </c>
      <c r="E255" s="23">
        <v>1004.72</v>
      </c>
      <c r="F255" s="22">
        <f t="shared" si="3"/>
        <v>2023</v>
      </c>
    </row>
    <row r="256" spans="1:6" ht="19.5" x14ac:dyDescent="0.55000000000000004">
      <c r="A256" s="16">
        <v>45104</v>
      </c>
      <c r="B256" s="17" t="s">
        <v>278</v>
      </c>
      <c r="C256" s="18" t="s">
        <v>20</v>
      </c>
      <c r="D256" s="17" t="s">
        <v>21</v>
      </c>
      <c r="E256" s="19">
        <v>798.37</v>
      </c>
      <c r="F256" s="18">
        <f t="shared" si="3"/>
        <v>2023</v>
      </c>
    </row>
    <row r="257" spans="1:6" ht="19.5" x14ac:dyDescent="0.55000000000000004">
      <c r="A257" s="20">
        <v>45105</v>
      </c>
      <c r="B257" s="21" t="s">
        <v>279</v>
      </c>
      <c r="C257" s="22" t="s">
        <v>20</v>
      </c>
      <c r="D257" s="21" t="s">
        <v>21</v>
      </c>
      <c r="E257" s="23">
        <v>106.1</v>
      </c>
      <c r="F257" s="22">
        <f t="shared" si="3"/>
        <v>2023</v>
      </c>
    </row>
    <row r="258" spans="1:6" ht="19.5" x14ac:dyDescent="0.55000000000000004">
      <c r="A258" s="16">
        <v>45106</v>
      </c>
      <c r="B258" s="17" t="s">
        <v>280</v>
      </c>
      <c r="C258" s="18" t="s">
        <v>20</v>
      </c>
      <c r="D258" s="17" t="s">
        <v>21</v>
      </c>
      <c r="E258" s="19">
        <v>4000</v>
      </c>
      <c r="F258" s="18">
        <f t="shared" ref="F258:F326" si="4">YEAR(A258)</f>
        <v>2023</v>
      </c>
    </row>
    <row r="259" spans="1:6" ht="19.5" x14ac:dyDescent="0.55000000000000004">
      <c r="A259" s="20">
        <v>45107</v>
      </c>
      <c r="B259" s="21" t="s">
        <v>281</v>
      </c>
      <c r="C259" s="22" t="s">
        <v>20</v>
      </c>
      <c r="D259" s="21" t="s">
        <v>21</v>
      </c>
      <c r="E259" s="23">
        <v>536.29999999999995</v>
      </c>
      <c r="F259" s="22">
        <f t="shared" si="4"/>
        <v>2023</v>
      </c>
    </row>
    <row r="260" spans="1:6" ht="19.5" x14ac:dyDescent="0.55000000000000004">
      <c r="A260" s="16">
        <v>45108</v>
      </c>
      <c r="B260" s="17" t="s">
        <v>282</v>
      </c>
      <c r="C260" s="18" t="s">
        <v>20</v>
      </c>
      <c r="D260" s="17" t="s">
        <v>21</v>
      </c>
      <c r="E260" s="19">
        <v>793.09</v>
      </c>
      <c r="F260" s="18">
        <f t="shared" si="4"/>
        <v>2023</v>
      </c>
    </row>
    <row r="261" spans="1:6" ht="19.5" x14ac:dyDescent="0.55000000000000004">
      <c r="A261" s="20">
        <v>45109</v>
      </c>
      <c r="B261" s="21" t="s">
        <v>283</v>
      </c>
      <c r="C261" s="22" t="s">
        <v>20</v>
      </c>
      <c r="D261" s="21" t="s">
        <v>21</v>
      </c>
      <c r="E261" s="23">
        <v>820.88</v>
      </c>
      <c r="F261" s="22">
        <f t="shared" si="4"/>
        <v>2023</v>
      </c>
    </row>
    <row r="262" spans="1:6" ht="19.5" x14ac:dyDescent="0.55000000000000004">
      <c r="A262" s="16">
        <v>45110</v>
      </c>
      <c r="B262" s="17" t="s">
        <v>284</v>
      </c>
      <c r="C262" s="18" t="s">
        <v>20</v>
      </c>
      <c r="D262" s="17" t="s">
        <v>21</v>
      </c>
      <c r="E262" s="19">
        <v>862.5</v>
      </c>
      <c r="F262" s="18">
        <f t="shared" si="4"/>
        <v>2023</v>
      </c>
    </row>
    <row r="263" spans="1:6" ht="19.5" x14ac:dyDescent="0.55000000000000004">
      <c r="A263" s="20">
        <v>45111</v>
      </c>
      <c r="B263" s="21" t="s">
        <v>285</v>
      </c>
      <c r="C263" s="22" t="s">
        <v>20</v>
      </c>
      <c r="D263" s="21" t="s">
        <v>21</v>
      </c>
      <c r="E263" s="23">
        <v>838.42</v>
      </c>
      <c r="F263" s="22">
        <f t="shared" si="4"/>
        <v>2023</v>
      </c>
    </row>
    <row r="264" spans="1:6" ht="19.5" x14ac:dyDescent="0.55000000000000004">
      <c r="A264" s="16">
        <v>45112</v>
      </c>
      <c r="B264" s="17" t="s">
        <v>286</v>
      </c>
      <c r="C264" s="18" t="s">
        <v>20</v>
      </c>
      <c r="D264" s="17" t="s">
        <v>21</v>
      </c>
      <c r="E264" s="19">
        <v>148.81</v>
      </c>
      <c r="F264" s="18">
        <f t="shared" si="4"/>
        <v>2023</v>
      </c>
    </row>
    <row r="265" spans="1:6" ht="19.5" x14ac:dyDescent="0.55000000000000004">
      <c r="A265" s="20">
        <v>45122</v>
      </c>
      <c r="B265" s="21" t="s">
        <v>287</v>
      </c>
      <c r="C265" s="22" t="s">
        <v>119</v>
      </c>
      <c r="D265" s="21" t="s">
        <v>21</v>
      </c>
      <c r="E265" s="23">
        <v>-0.14000000000000001</v>
      </c>
      <c r="F265" s="22">
        <f t="shared" si="4"/>
        <v>2023</v>
      </c>
    </row>
    <row r="266" spans="1:6" ht="19.5" x14ac:dyDescent="0.55000000000000004">
      <c r="A266" s="16">
        <v>45126</v>
      </c>
      <c r="B266" s="17" t="s">
        <v>288</v>
      </c>
      <c r="C266" s="18" t="s">
        <v>20</v>
      </c>
      <c r="D266" s="17" t="s">
        <v>21</v>
      </c>
      <c r="E266" s="19">
        <v>3000</v>
      </c>
      <c r="F266" s="18">
        <f t="shared" si="4"/>
        <v>2023</v>
      </c>
    </row>
    <row r="267" spans="1:6" ht="19.5" x14ac:dyDescent="0.55000000000000004">
      <c r="A267" s="20">
        <v>45126</v>
      </c>
      <c r="B267" s="21" t="s">
        <v>289</v>
      </c>
      <c r="C267" s="22" t="s">
        <v>20</v>
      </c>
      <c r="D267" s="21" t="s">
        <v>21</v>
      </c>
      <c r="E267" s="23">
        <v>3000</v>
      </c>
      <c r="F267" s="22">
        <f t="shared" si="4"/>
        <v>2023</v>
      </c>
    </row>
    <row r="268" spans="1:6" ht="19.5" x14ac:dyDescent="0.55000000000000004">
      <c r="A268" s="16">
        <v>45127</v>
      </c>
      <c r="B268" s="17" t="s">
        <v>290</v>
      </c>
      <c r="C268" s="18" t="s">
        <v>20</v>
      </c>
      <c r="D268" s="17" t="s">
        <v>21</v>
      </c>
      <c r="E268" s="19">
        <v>341.41</v>
      </c>
      <c r="F268" s="18">
        <f t="shared" si="4"/>
        <v>2023</v>
      </c>
    </row>
    <row r="269" spans="1:6" ht="19.5" x14ac:dyDescent="0.55000000000000004">
      <c r="A269" s="20">
        <v>45128</v>
      </c>
      <c r="B269" s="21" t="s">
        <v>291</v>
      </c>
      <c r="C269" s="22" t="s">
        <v>20</v>
      </c>
      <c r="D269" s="21" t="s">
        <v>21</v>
      </c>
      <c r="E269" s="23">
        <v>1487.57</v>
      </c>
      <c r="F269" s="22">
        <f t="shared" si="4"/>
        <v>2023</v>
      </c>
    </row>
    <row r="270" spans="1:6" ht="19.5" x14ac:dyDescent="0.55000000000000004">
      <c r="A270" s="16">
        <v>45129</v>
      </c>
      <c r="B270" s="17" t="s">
        <v>292</v>
      </c>
      <c r="C270" s="18" t="s">
        <v>20</v>
      </c>
      <c r="D270" s="17" t="s">
        <v>21</v>
      </c>
      <c r="E270" s="19">
        <v>1725.62</v>
      </c>
      <c r="F270" s="18">
        <f t="shared" si="4"/>
        <v>2023</v>
      </c>
    </row>
    <row r="271" spans="1:6" ht="19.5" x14ac:dyDescent="0.55000000000000004">
      <c r="A271" s="20">
        <v>45129</v>
      </c>
      <c r="B271" s="21" t="s">
        <v>293</v>
      </c>
      <c r="C271" s="22" t="s">
        <v>20</v>
      </c>
      <c r="D271" s="21" t="s">
        <v>21</v>
      </c>
      <c r="E271" s="23">
        <v>4000</v>
      </c>
      <c r="F271" s="22">
        <f t="shared" si="4"/>
        <v>2023</v>
      </c>
    </row>
    <row r="272" spans="1:6" ht="19.5" x14ac:dyDescent="0.55000000000000004">
      <c r="A272" s="16">
        <v>45130</v>
      </c>
      <c r="B272" s="17" t="s">
        <v>294</v>
      </c>
      <c r="C272" s="18" t="s">
        <v>20</v>
      </c>
      <c r="D272" s="17" t="s">
        <v>21</v>
      </c>
      <c r="E272" s="19">
        <v>1436.47</v>
      </c>
      <c r="F272" s="18">
        <f t="shared" si="4"/>
        <v>2023</v>
      </c>
    </row>
    <row r="273" spans="1:6" ht="19.5" x14ac:dyDescent="0.55000000000000004">
      <c r="A273" s="20">
        <v>45131</v>
      </c>
      <c r="B273" s="21" t="s">
        <v>295</v>
      </c>
      <c r="C273" s="22" t="s">
        <v>20</v>
      </c>
      <c r="D273" s="21" t="s">
        <v>21</v>
      </c>
      <c r="E273" s="23">
        <v>2183.2800000000002</v>
      </c>
      <c r="F273" s="22">
        <f t="shared" si="4"/>
        <v>2023</v>
      </c>
    </row>
    <row r="274" spans="1:6" ht="19.5" x14ac:dyDescent="0.55000000000000004">
      <c r="A274" s="16">
        <v>45132</v>
      </c>
      <c r="B274" s="17" t="s">
        <v>296</v>
      </c>
      <c r="C274" s="18" t="s">
        <v>20</v>
      </c>
      <c r="D274" s="17" t="s">
        <v>21</v>
      </c>
      <c r="E274" s="19">
        <v>1016.9</v>
      </c>
      <c r="F274" s="18">
        <f t="shared" si="4"/>
        <v>2023</v>
      </c>
    </row>
    <row r="275" spans="1:6" ht="19.5" x14ac:dyDescent="0.55000000000000004">
      <c r="A275" s="20">
        <v>45133</v>
      </c>
      <c r="B275" s="21" t="s">
        <v>297</v>
      </c>
      <c r="C275" s="22" t="s">
        <v>20</v>
      </c>
      <c r="D275" s="21" t="s">
        <v>21</v>
      </c>
      <c r="E275" s="23">
        <v>987.72</v>
      </c>
      <c r="F275" s="22">
        <f t="shared" si="4"/>
        <v>2023</v>
      </c>
    </row>
    <row r="276" spans="1:6" ht="19.5" x14ac:dyDescent="0.55000000000000004">
      <c r="A276" s="16">
        <v>45134</v>
      </c>
      <c r="B276" s="17" t="s">
        <v>298</v>
      </c>
      <c r="C276" s="18" t="s">
        <v>20</v>
      </c>
      <c r="D276" s="17" t="s">
        <v>21</v>
      </c>
      <c r="E276" s="19">
        <v>830.43</v>
      </c>
      <c r="F276" s="18">
        <f t="shared" si="4"/>
        <v>2023</v>
      </c>
    </row>
    <row r="277" spans="1:6" ht="19.5" x14ac:dyDescent="0.55000000000000004">
      <c r="A277" s="20">
        <v>45140</v>
      </c>
      <c r="B277" s="21" t="s">
        <v>299</v>
      </c>
      <c r="C277" s="22" t="s">
        <v>20</v>
      </c>
      <c r="D277" s="21" t="s">
        <v>21</v>
      </c>
      <c r="E277" s="23">
        <v>4000</v>
      </c>
      <c r="F277" s="22">
        <f t="shared" si="4"/>
        <v>2023</v>
      </c>
    </row>
    <row r="278" spans="1:6" ht="19.5" x14ac:dyDescent="0.55000000000000004">
      <c r="A278" s="16">
        <v>45141</v>
      </c>
      <c r="B278" s="17" t="s">
        <v>300</v>
      </c>
      <c r="C278" s="18" t="s">
        <v>20</v>
      </c>
      <c r="D278" s="17" t="s">
        <v>21</v>
      </c>
      <c r="E278" s="19">
        <v>744.18</v>
      </c>
      <c r="F278" s="18">
        <f t="shared" si="4"/>
        <v>2023</v>
      </c>
    </row>
    <row r="279" spans="1:6" ht="19.5" x14ac:dyDescent="0.55000000000000004">
      <c r="A279" s="20">
        <v>45142</v>
      </c>
      <c r="B279" s="21" t="s">
        <v>301</v>
      </c>
      <c r="C279" s="22" t="s">
        <v>20</v>
      </c>
      <c r="D279" s="21" t="s">
        <v>21</v>
      </c>
      <c r="E279" s="23">
        <v>974.68</v>
      </c>
      <c r="F279" s="22">
        <f t="shared" si="4"/>
        <v>2023</v>
      </c>
    </row>
    <row r="280" spans="1:6" ht="19.5" x14ac:dyDescent="0.55000000000000004">
      <c r="A280" s="16">
        <v>45143</v>
      </c>
      <c r="B280" s="17" t="s">
        <v>302</v>
      </c>
      <c r="C280" s="18" t="s">
        <v>20</v>
      </c>
      <c r="D280" s="17" t="s">
        <v>21</v>
      </c>
      <c r="E280" s="19">
        <v>1015.31</v>
      </c>
      <c r="F280" s="18">
        <f t="shared" si="4"/>
        <v>2023</v>
      </c>
    </row>
    <row r="281" spans="1:6" ht="19.5" x14ac:dyDescent="0.55000000000000004">
      <c r="A281" s="20">
        <v>45144</v>
      </c>
      <c r="B281" s="21" t="s">
        <v>303</v>
      </c>
      <c r="C281" s="22" t="s">
        <v>20</v>
      </c>
      <c r="D281" s="21" t="s">
        <v>21</v>
      </c>
      <c r="E281" s="23">
        <v>1092.3800000000001</v>
      </c>
      <c r="F281" s="22">
        <f t="shared" si="4"/>
        <v>2023</v>
      </c>
    </row>
    <row r="282" spans="1:6" ht="19.5" x14ac:dyDescent="0.55000000000000004">
      <c r="A282" s="16">
        <v>45145</v>
      </c>
      <c r="B282" s="17" t="s">
        <v>304</v>
      </c>
      <c r="C282" s="18" t="s">
        <v>20</v>
      </c>
      <c r="D282" s="17" t="s">
        <v>21</v>
      </c>
      <c r="E282" s="19">
        <v>173.44</v>
      </c>
      <c r="F282" s="18">
        <f t="shared" si="4"/>
        <v>2023</v>
      </c>
    </row>
    <row r="283" spans="1:6" ht="19.5" x14ac:dyDescent="0.55000000000000004">
      <c r="A283" s="20">
        <v>45170</v>
      </c>
      <c r="B283" s="21" t="s">
        <v>305</v>
      </c>
      <c r="C283" s="22" t="s">
        <v>119</v>
      </c>
      <c r="D283" s="21" t="s">
        <v>21</v>
      </c>
      <c r="E283" s="23">
        <v>-0.18</v>
      </c>
      <c r="F283" s="22">
        <f t="shared" si="4"/>
        <v>2023</v>
      </c>
    </row>
    <row r="284" spans="1:6" ht="19.5" x14ac:dyDescent="0.55000000000000004">
      <c r="A284" s="16">
        <v>45175</v>
      </c>
      <c r="B284" s="17" t="s">
        <v>306</v>
      </c>
      <c r="C284" s="18" t="s">
        <v>119</v>
      </c>
      <c r="D284" s="17" t="s">
        <v>21</v>
      </c>
      <c r="E284" s="19">
        <v>-0.01</v>
      </c>
      <c r="F284" s="18">
        <f t="shared" si="4"/>
        <v>2023</v>
      </c>
    </row>
    <row r="285" spans="1:6" ht="19.5" x14ac:dyDescent="0.55000000000000004">
      <c r="A285" s="20">
        <v>45223</v>
      </c>
      <c r="B285" s="21" t="s">
        <v>307</v>
      </c>
      <c r="C285" s="22" t="s">
        <v>119</v>
      </c>
      <c r="D285" s="21" t="s">
        <v>21</v>
      </c>
      <c r="E285" s="23">
        <v>-0.12</v>
      </c>
      <c r="F285" s="22">
        <f t="shared" si="4"/>
        <v>2023</v>
      </c>
    </row>
    <row r="286" spans="1:6" ht="19.5" x14ac:dyDescent="0.55000000000000004">
      <c r="A286" s="16">
        <v>45300</v>
      </c>
      <c r="B286" s="17" t="s">
        <v>308</v>
      </c>
      <c r="C286" s="18" t="s">
        <v>20</v>
      </c>
      <c r="D286" s="17" t="s">
        <v>21</v>
      </c>
      <c r="E286" s="19">
        <v>1000</v>
      </c>
      <c r="F286" s="18">
        <f t="shared" si="4"/>
        <v>2024</v>
      </c>
    </row>
    <row r="287" spans="1:6" ht="19.5" x14ac:dyDescent="0.55000000000000004">
      <c r="A287" s="20">
        <v>45301</v>
      </c>
      <c r="B287" s="21" t="s">
        <v>309</v>
      </c>
      <c r="C287" s="22" t="s">
        <v>20</v>
      </c>
      <c r="D287" s="21" t="s">
        <v>21</v>
      </c>
      <c r="E287" s="23">
        <v>43.7</v>
      </c>
      <c r="F287" s="22">
        <f t="shared" si="4"/>
        <v>2024</v>
      </c>
    </row>
    <row r="288" spans="1:6" ht="19.5" x14ac:dyDescent="0.55000000000000004">
      <c r="A288" s="16">
        <v>45302</v>
      </c>
      <c r="B288" s="17" t="s">
        <v>310</v>
      </c>
      <c r="C288" s="18" t="s">
        <v>20</v>
      </c>
      <c r="D288" s="17" t="s">
        <v>21</v>
      </c>
      <c r="E288" s="19">
        <v>151.88999999999999</v>
      </c>
      <c r="F288" s="18">
        <f t="shared" si="4"/>
        <v>2024</v>
      </c>
    </row>
    <row r="289" spans="1:6" ht="19.5" x14ac:dyDescent="0.55000000000000004">
      <c r="A289" s="20">
        <v>45303</v>
      </c>
      <c r="B289" s="21" t="s">
        <v>311</v>
      </c>
      <c r="C289" s="22" t="s">
        <v>20</v>
      </c>
      <c r="D289" s="21" t="s">
        <v>21</v>
      </c>
      <c r="E289" s="23">
        <v>158.6</v>
      </c>
      <c r="F289" s="22">
        <f t="shared" si="4"/>
        <v>2024</v>
      </c>
    </row>
    <row r="290" spans="1:6" ht="19.5" x14ac:dyDescent="0.55000000000000004">
      <c r="A290" s="16">
        <v>45304</v>
      </c>
      <c r="B290" s="17" t="s">
        <v>312</v>
      </c>
      <c r="C290" s="18" t="s">
        <v>20</v>
      </c>
      <c r="D290" s="17" t="s">
        <v>21</v>
      </c>
      <c r="E290" s="19">
        <v>152.53</v>
      </c>
      <c r="F290" s="18">
        <f t="shared" si="4"/>
        <v>2024</v>
      </c>
    </row>
    <row r="291" spans="1:6" ht="19.5" x14ac:dyDescent="0.55000000000000004">
      <c r="A291" s="20">
        <v>45305</v>
      </c>
      <c r="B291" s="21" t="s">
        <v>313</v>
      </c>
      <c r="C291" s="22" t="s">
        <v>20</v>
      </c>
      <c r="D291" s="21" t="s">
        <v>21</v>
      </c>
      <c r="E291" s="23">
        <v>138.69999999999999</v>
      </c>
      <c r="F291" s="22">
        <f t="shared" si="4"/>
        <v>2024</v>
      </c>
    </row>
    <row r="292" spans="1:6" ht="19.5" x14ac:dyDescent="0.55000000000000004">
      <c r="A292" s="16">
        <v>45306</v>
      </c>
      <c r="B292" s="17" t="s">
        <v>314</v>
      </c>
      <c r="C292" s="18" t="s">
        <v>20</v>
      </c>
      <c r="D292" s="17" t="s">
        <v>21</v>
      </c>
      <c r="E292" s="19">
        <v>129.97</v>
      </c>
      <c r="F292" s="18">
        <f t="shared" si="4"/>
        <v>2024</v>
      </c>
    </row>
    <row r="293" spans="1:6" ht="19.5" x14ac:dyDescent="0.55000000000000004">
      <c r="A293" s="20">
        <v>45307</v>
      </c>
      <c r="B293" s="21" t="s">
        <v>315</v>
      </c>
      <c r="C293" s="22" t="s">
        <v>20</v>
      </c>
      <c r="D293" s="21" t="s">
        <v>21</v>
      </c>
      <c r="E293" s="23">
        <v>152.76</v>
      </c>
      <c r="F293" s="22">
        <f t="shared" si="4"/>
        <v>2024</v>
      </c>
    </row>
    <row r="294" spans="1:6" ht="19.5" x14ac:dyDescent="0.55000000000000004">
      <c r="A294" s="16">
        <v>45308</v>
      </c>
      <c r="B294" s="17" t="s">
        <v>316</v>
      </c>
      <c r="C294" s="18" t="s">
        <v>20</v>
      </c>
      <c r="D294" s="17" t="s">
        <v>21</v>
      </c>
      <c r="E294" s="19">
        <v>66.430000000000007</v>
      </c>
      <c r="F294" s="18">
        <f t="shared" si="4"/>
        <v>2024</v>
      </c>
    </row>
    <row r="295" spans="1:6" ht="19.5" x14ac:dyDescent="0.55000000000000004">
      <c r="A295" s="20">
        <v>45310</v>
      </c>
      <c r="B295" s="21" t="s">
        <v>317</v>
      </c>
      <c r="C295" s="22" t="s">
        <v>20</v>
      </c>
      <c r="D295" s="21" t="s">
        <v>21</v>
      </c>
      <c r="E295" s="23">
        <v>1000</v>
      </c>
      <c r="F295" s="22">
        <f t="shared" si="4"/>
        <v>2024</v>
      </c>
    </row>
    <row r="296" spans="1:6" ht="19.5" x14ac:dyDescent="0.55000000000000004">
      <c r="A296" s="16">
        <v>45311</v>
      </c>
      <c r="B296" s="17" t="s">
        <v>318</v>
      </c>
      <c r="C296" s="18" t="s">
        <v>20</v>
      </c>
      <c r="D296" s="17" t="s">
        <v>21</v>
      </c>
      <c r="E296" s="19">
        <v>46.19</v>
      </c>
      <c r="F296" s="18">
        <f t="shared" si="4"/>
        <v>2024</v>
      </c>
    </row>
    <row r="297" spans="1:6" ht="19.5" x14ac:dyDescent="0.55000000000000004">
      <c r="A297" s="20">
        <v>45312</v>
      </c>
      <c r="B297" s="21" t="s">
        <v>319</v>
      </c>
      <c r="C297" s="22" t="s">
        <v>20</v>
      </c>
      <c r="D297" s="21" t="s">
        <v>21</v>
      </c>
      <c r="E297" s="23">
        <v>166.99</v>
      </c>
      <c r="F297" s="22">
        <f t="shared" si="4"/>
        <v>2024</v>
      </c>
    </row>
    <row r="298" spans="1:6" ht="19.5" x14ac:dyDescent="0.55000000000000004">
      <c r="A298" s="16">
        <v>45313</v>
      </c>
      <c r="B298" s="17" t="s">
        <v>320</v>
      </c>
      <c r="C298" s="18" t="s">
        <v>20</v>
      </c>
      <c r="D298" s="17" t="s">
        <v>21</v>
      </c>
      <c r="E298" s="19">
        <v>142.91</v>
      </c>
      <c r="F298" s="18">
        <f t="shared" si="4"/>
        <v>2024</v>
      </c>
    </row>
    <row r="299" spans="1:6" ht="19.5" x14ac:dyDescent="0.55000000000000004">
      <c r="A299" s="20">
        <v>45314</v>
      </c>
      <c r="B299" s="21" t="s">
        <v>321</v>
      </c>
      <c r="C299" s="22" t="s">
        <v>20</v>
      </c>
      <c r="D299" s="21" t="s">
        <v>21</v>
      </c>
      <c r="E299" s="23">
        <v>141.54</v>
      </c>
      <c r="F299" s="22">
        <f t="shared" si="4"/>
        <v>2024</v>
      </c>
    </row>
    <row r="300" spans="1:6" ht="19.5" x14ac:dyDescent="0.55000000000000004">
      <c r="A300" s="16">
        <v>45315</v>
      </c>
      <c r="B300" s="17" t="s">
        <v>322</v>
      </c>
      <c r="C300" s="18" t="s">
        <v>20</v>
      </c>
      <c r="D300" s="17" t="s">
        <v>21</v>
      </c>
      <c r="E300" s="19">
        <v>141.65</v>
      </c>
      <c r="F300" s="18">
        <f t="shared" si="4"/>
        <v>2024</v>
      </c>
    </row>
    <row r="301" spans="1:6" ht="19.5" x14ac:dyDescent="0.55000000000000004">
      <c r="A301" s="20">
        <v>45316</v>
      </c>
      <c r="B301" s="21" t="s">
        <v>323</v>
      </c>
      <c r="C301" s="22" t="s">
        <v>20</v>
      </c>
      <c r="D301" s="21" t="s">
        <v>21</v>
      </c>
      <c r="E301" s="23">
        <v>139.9</v>
      </c>
      <c r="F301" s="22">
        <f t="shared" si="4"/>
        <v>2024</v>
      </c>
    </row>
    <row r="302" spans="1:6" ht="19.5" x14ac:dyDescent="0.55000000000000004">
      <c r="A302" s="16">
        <v>45317</v>
      </c>
      <c r="B302" s="17" t="s">
        <v>324</v>
      </c>
      <c r="C302" s="18" t="s">
        <v>20</v>
      </c>
      <c r="D302" s="17" t="s">
        <v>21</v>
      </c>
      <c r="E302" s="19">
        <v>141.08000000000001</v>
      </c>
      <c r="F302" s="18">
        <f t="shared" si="4"/>
        <v>2024</v>
      </c>
    </row>
    <row r="303" spans="1:6" ht="19.5" x14ac:dyDescent="0.55000000000000004">
      <c r="A303" s="20">
        <v>45318</v>
      </c>
      <c r="B303" s="21" t="s">
        <v>325</v>
      </c>
      <c r="C303" s="22" t="s">
        <v>20</v>
      </c>
      <c r="D303" s="21" t="s">
        <v>21</v>
      </c>
      <c r="E303" s="23">
        <v>79.739999999999995</v>
      </c>
      <c r="F303" s="22">
        <f t="shared" si="4"/>
        <v>2024</v>
      </c>
    </row>
    <row r="304" spans="1:6" ht="19.5" x14ac:dyDescent="0.55000000000000004">
      <c r="A304" s="16">
        <v>45330</v>
      </c>
      <c r="B304" s="17" t="s">
        <v>326</v>
      </c>
      <c r="C304" s="18" t="s">
        <v>20</v>
      </c>
      <c r="D304" s="17" t="s">
        <v>21</v>
      </c>
      <c r="E304" s="19">
        <v>1500</v>
      </c>
      <c r="F304" s="18">
        <f t="shared" si="4"/>
        <v>2024</v>
      </c>
    </row>
    <row r="305" spans="1:6" ht="19.5" x14ac:dyDescent="0.55000000000000004">
      <c r="A305" s="20">
        <v>45331</v>
      </c>
      <c r="B305" s="21" t="s">
        <v>327</v>
      </c>
      <c r="C305" s="22" t="s">
        <v>20</v>
      </c>
      <c r="D305" s="21" t="s">
        <v>21</v>
      </c>
      <c r="E305" s="23">
        <v>38.79</v>
      </c>
      <c r="F305" s="22">
        <f t="shared" si="4"/>
        <v>2024</v>
      </c>
    </row>
    <row r="306" spans="1:6" ht="19.5" x14ac:dyDescent="0.55000000000000004">
      <c r="A306" s="16">
        <v>45332</v>
      </c>
      <c r="B306" s="17" t="s">
        <v>328</v>
      </c>
      <c r="C306" s="18" t="s">
        <v>20</v>
      </c>
      <c r="D306" s="17" t="s">
        <v>21</v>
      </c>
      <c r="E306" s="19">
        <v>220.54</v>
      </c>
      <c r="F306" s="18">
        <f t="shared" si="4"/>
        <v>2024</v>
      </c>
    </row>
    <row r="307" spans="1:6" ht="19.5" x14ac:dyDescent="0.55000000000000004">
      <c r="A307" s="20">
        <v>45333</v>
      </c>
      <c r="B307" s="21" t="s">
        <v>329</v>
      </c>
      <c r="C307" s="22" t="s">
        <v>20</v>
      </c>
      <c r="D307" s="21" t="s">
        <v>21</v>
      </c>
      <c r="E307" s="23">
        <v>232.75</v>
      </c>
      <c r="F307" s="22">
        <f t="shared" si="4"/>
        <v>2024</v>
      </c>
    </row>
    <row r="308" spans="1:6" ht="19.5" x14ac:dyDescent="0.55000000000000004">
      <c r="A308" s="16">
        <v>45334</v>
      </c>
      <c r="B308" s="17" t="s">
        <v>330</v>
      </c>
      <c r="C308" s="18" t="s">
        <v>20</v>
      </c>
      <c r="D308" s="17" t="s">
        <v>21</v>
      </c>
      <c r="E308" s="19">
        <v>226.18</v>
      </c>
      <c r="F308" s="18">
        <f t="shared" si="4"/>
        <v>2024</v>
      </c>
    </row>
    <row r="309" spans="1:6" ht="19.5" x14ac:dyDescent="0.55000000000000004">
      <c r="A309" s="20">
        <v>45335</v>
      </c>
      <c r="B309" s="21" t="s">
        <v>331</v>
      </c>
      <c r="C309" s="22" t="s">
        <v>20</v>
      </c>
      <c r="D309" s="21" t="s">
        <v>21</v>
      </c>
      <c r="E309" s="23">
        <v>213.5</v>
      </c>
      <c r="F309" s="22">
        <f t="shared" si="4"/>
        <v>2024</v>
      </c>
    </row>
    <row r="310" spans="1:6" ht="19.5" x14ac:dyDescent="0.55000000000000004">
      <c r="A310" s="16">
        <v>45336</v>
      </c>
      <c r="B310" s="17" t="s">
        <v>332</v>
      </c>
      <c r="C310" s="18" t="s">
        <v>20</v>
      </c>
      <c r="D310" s="17" t="s">
        <v>21</v>
      </c>
      <c r="E310" s="19">
        <v>220.94</v>
      </c>
      <c r="F310" s="18">
        <f t="shared" si="4"/>
        <v>2024</v>
      </c>
    </row>
    <row r="311" spans="1:6" ht="19.5" x14ac:dyDescent="0.55000000000000004">
      <c r="A311" s="20">
        <v>45337</v>
      </c>
      <c r="B311" s="21" t="s">
        <v>333</v>
      </c>
      <c r="C311" s="22" t="s">
        <v>20</v>
      </c>
      <c r="D311" s="21" t="s">
        <v>21</v>
      </c>
      <c r="E311" s="23">
        <v>201.24</v>
      </c>
      <c r="F311" s="22">
        <f t="shared" si="4"/>
        <v>2024</v>
      </c>
    </row>
    <row r="312" spans="1:6" ht="19.5" x14ac:dyDescent="0.55000000000000004">
      <c r="A312" s="16">
        <v>45338</v>
      </c>
      <c r="B312" s="17" t="s">
        <v>334</v>
      </c>
      <c r="C312" s="18" t="s">
        <v>20</v>
      </c>
      <c r="D312" s="17" t="s">
        <v>21</v>
      </c>
      <c r="E312" s="19">
        <v>146.06</v>
      </c>
      <c r="F312" s="18">
        <f t="shared" si="4"/>
        <v>2024</v>
      </c>
    </row>
    <row r="313" spans="1:6" ht="19.5" x14ac:dyDescent="0.55000000000000004">
      <c r="A313" s="20">
        <v>45344</v>
      </c>
      <c r="B313" s="21" t="s">
        <v>335</v>
      </c>
      <c r="C313" s="22" t="s">
        <v>20</v>
      </c>
      <c r="D313" s="21" t="s">
        <v>21</v>
      </c>
      <c r="E313" s="23">
        <v>2000</v>
      </c>
      <c r="F313" s="22">
        <f t="shared" si="4"/>
        <v>2024</v>
      </c>
    </row>
    <row r="314" spans="1:6" ht="19.5" x14ac:dyDescent="0.55000000000000004">
      <c r="A314" s="16">
        <v>45345</v>
      </c>
      <c r="B314" s="17" t="s">
        <v>336</v>
      </c>
      <c r="C314" s="18" t="s">
        <v>20</v>
      </c>
      <c r="D314" s="17" t="s">
        <v>21</v>
      </c>
      <c r="E314" s="19">
        <v>25.33</v>
      </c>
      <c r="F314" s="18">
        <f t="shared" si="4"/>
        <v>2024</v>
      </c>
    </row>
    <row r="315" spans="1:6" ht="19.5" x14ac:dyDescent="0.55000000000000004">
      <c r="A315" s="20">
        <v>45346</v>
      </c>
      <c r="B315" s="21" t="s">
        <v>337</v>
      </c>
      <c r="C315" s="22" t="s">
        <v>20</v>
      </c>
      <c r="D315" s="21" t="s">
        <v>21</v>
      </c>
      <c r="E315" s="23">
        <v>272.91000000000003</v>
      </c>
      <c r="F315" s="22">
        <f t="shared" si="4"/>
        <v>2024</v>
      </c>
    </row>
    <row r="316" spans="1:6" ht="19.5" x14ac:dyDescent="0.55000000000000004">
      <c r="A316" s="16">
        <v>45347</v>
      </c>
      <c r="B316" s="17" t="s">
        <v>338</v>
      </c>
      <c r="C316" s="18" t="s">
        <v>20</v>
      </c>
      <c r="D316" s="17" t="s">
        <v>21</v>
      </c>
      <c r="E316" s="19">
        <v>225.65</v>
      </c>
      <c r="F316" s="18">
        <f t="shared" si="4"/>
        <v>2024</v>
      </c>
    </row>
    <row r="317" spans="1:6" ht="19.5" x14ac:dyDescent="0.55000000000000004">
      <c r="A317" s="20">
        <v>45348</v>
      </c>
      <c r="B317" s="21" t="s">
        <v>339</v>
      </c>
      <c r="C317" s="22" t="s">
        <v>20</v>
      </c>
      <c r="D317" s="21" t="s">
        <v>21</v>
      </c>
      <c r="E317" s="23">
        <v>240.23</v>
      </c>
      <c r="F317" s="22">
        <f t="shared" si="4"/>
        <v>2024</v>
      </c>
    </row>
    <row r="318" spans="1:6" ht="19.5" x14ac:dyDescent="0.55000000000000004">
      <c r="A318" s="16">
        <v>45349</v>
      </c>
      <c r="B318" s="17" t="s">
        <v>340</v>
      </c>
      <c r="C318" s="18" t="s">
        <v>20</v>
      </c>
      <c r="D318" s="17" t="s">
        <v>21</v>
      </c>
      <c r="E318" s="19">
        <v>226.26</v>
      </c>
      <c r="F318" s="18">
        <f t="shared" si="4"/>
        <v>2024</v>
      </c>
    </row>
    <row r="319" spans="1:6" ht="19.5" x14ac:dyDescent="0.55000000000000004">
      <c r="A319" s="20">
        <v>45350</v>
      </c>
      <c r="B319" s="21" t="s">
        <v>341</v>
      </c>
      <c r="C319" s="22" t="s">
        <v>20</v>
      </c>
      <c r="D319" s="21" t="s">
        <v>21</v>
      </c>
      <c r="E319" s="23">
        <v>132.5</v>
      </c>
      <c r="F319" s="22">
        <f t="shared" si="4"/>
        <v>2024</v>
      </c>
    </row>
    <row r="320" spans="1:6" ht="19.5" x14ac:dyDescent="0.55000000000000004">
      <c r="A320" s="16">
        <v>45353</v>
      </c>
      <c r="B320" s="17" t="s">
        <v>342</v>
      </c>
      <c r="C320" s="18" t="s">
        <v>20</v>
      </c>
      <c r="D320" s="17" t="s">
        <v>21</v>
      </c>
      <c r="E320" s="19">
        <v>177.98</v>
      </c>
      <c r="F320" s="18">
        <f t="shared" si="4"/>
        <v>2024</v>
      </c>
    </row>
    <row r="321" spans="1:6" ht="19.5" x14ac:dyDescent="0.55000000000000004">
      <c r="A321" s="20">
        <v>45354</v>
      </c>
      <c r="B321" s="21" t="s">
        <v>343</v>
      </c>
      <c r="C321" s="22" t="s">
        <v>20</v>
      </c>
      <c r="D321" s="21" t="s">
        <v>21</v>
      </c>
      <c r="E321" s="23">
        <v>186.86</v>
      </c>
      <c r="F321" s="22">
        <f t="shared" si="4"/>
        <v>2024</v>
      </c>
    </row>
    <row r="322" spans="1:6" ht="19.5" x14ac:dyDescent="0.55000000000000004">
      <c r="A322" s="16">
        <v>45355</v>
      </c>
      <c r="B322" s="17" t="s">
        <v>344</v>
      </c>
      <c r="C322" s="18" t="s">
        <v>20</v>
      </c>
      <c r="D322" s="17" t="s">
        <v>21</v>
      </c>
      <c r="E322" s="19">
        <v>180.27</v>
      </c>
      <c r="F322" s="18">
        <f t="shared" si="4"/>
        <v>2024</v>
      </c>
    </row>
    <row r="323" spans="1:6" ht="19.5" x14ac:dyDescent="0.55000000000000004">
      <c r="A323" s="20">
        <v>45356</v>
      </c>
      <c r="B323" s="21" t="s">
        <v>345</v>
      </c>
      <c r="C323" s="22" t="s">
        <v>20</v>
      </c>
      <c r="D323" s="21" t="s">
        <v>21</v>
      </c>
      <c r="E323" s="23">
        <v>190.9</v>
      </c>
      <c r="F323" s="22">
        <f t="shared" si="4"/>
        <v>2024</v>
      </c>
    </row>
    <row r="324" spans="1:6" ht="19.5" x14ac:dyDescent="0.55000000000000004">
      <c r="A324" s="16">
        <v>45357</v>
      </c>
      <c r="B324" s="17" t="s">
        <v>346</v>
      </c>
      <c r="C324" s="18" t="s">
        <v>20</v>
      </c>
      <c r="D324" s="17" t="s">
        <v>21</v>
      </c>
      <c r="E324" s="19">
        <v>144.63999999999999</v>
      </c>
      <c r="F324" s="18">
        <f t="shared" si="4"/>
        <v>2024</v>
      </c>
    </row>
    <row r="325" spans="1:6" ht="19.5" x14ac:dyDescent="0.55000000000000004">
      <c r="A325" s="20">
        <v>45438</v>
      </c>
      <c r="B325" s="21" t="s">
        <v>347</v>
      </c>
      <c r="C325" s="22" t="s">
        <v>119</v>
      </c>
      <c r="D325" s="21" t="s">
        <v>21</v>
      </c>
      <c r="E325" s="23">
        <v>-1.54</v>
      </c>
      <c r="F325" s="22">
        <f t="shared" si="4"/>
        <v>2024</v>
      </c>
    </row>
    <row r="326" spans="1:6" ht="19.5" x14ac:dyDescent="0.55000000000000004">
      <c r="A326" s="16">
        <v>45561</v>
      </c>
      <c r="B326" s="17" t="s">
        <v>348</v>
      </c>
      <c r="C326" s="18" t="s">
        <v>119</v>
      </c>
      <c r="D326" s="17" t="s">
        <v>21</v>
      </c>
      <c r="E326" s="19">
        <v>-0.02</v>
      </c>
      <c r="F326" s="18">
        <f t="shared" si="4"/>
        <v>2024</v>
      </c>
    </row>
  </sheetData>
  <autoFilter ref="A1:F326" xr:uid="{00000000-0009-0000-0000-000001000000}"/>
  <conditionalFormatting sqref="E2:E326">
    <cfRule type="cellIs" dxfId="0" priority="2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Josephine Fitalvo</cp:lastModifiedBy>
  <cp:revision>1</cp:revision>
  <dcterms:created xsi:type="dcterms:W3CDTF">2026-06-24T10:39:32Z</dcterms:created>
  <dcterms:modified xsi:type="dcterms:W3CDTF">2026-06-24T10:47:12Z</dcterms:modified>
  <dc:language>en-US</dc:language>
</cp:coreProperties>
</file>